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ya.senirli\Desktop\"/>
    </mc:Choice>
  </mc:AlternateContent>
  <bookViews>
    <workbookView xWindow="0" yWindow="0" windowWidth="19200" windowHeight="7056" tabRatio="500"/>
  </bookViews>
  <sheets>
    <sheet name="Sayf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Sayfa1!$A$1:$XFC$212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D83" i="1"/>
  <c r="D25" i="1"/>
  <c r="D6" i="1" l="1"/>
  <c r="D5" i="1"/>
  <c r="D4" i="1"/>
  <c r="D3" i="1"/>
  <c r="D2" i="1"/>
  <c r="D15" i="1"/>
  <c r="D13" i="1"/>
  <c r="D14" i="1"/>
  <c r="D12" i="1"/>
  <c r="D11" i="1"/>
  <c r="D9" i="1"/>
  <c r="D10" i="1"/>
  <c r="D8" i="1"/>
  <c r="D21" i="1"/>
  <c r="D22" i="1"/>
  <c r="D23" i="1"/>
  <c r="D24" i="1"/>
  <c r="D20" i="1"/>
  <c r="D19" i="1"/>
  <c r="D17" i="1"/>
  <c r="D18" i="1"/>
  <c r="D16" i="1"/>
  <c r="D33" i="1"/>
  <c r="D31" i="1"/>
  <c r="D32" i="1"/>
  <c r="D29" i="1"/>
  <c r="D30" i="1"/>
  <c r="D28" i="1"/>
  <c r="D27" i="1"/>
  <c r="D26" i="1"/>
  <c r="D41" i="1"/>
  <c r="D40" i="1"/>
  <c r="D39" i="1"/>
  <c r="D37" i="1"/>
  <c r="D38" i="1"/>
  <c r="D36" i="1"/>
  <c r="D35" i="1"/>
  <c r="D34" i="1"/>
  <c r="D49" i="1"/>
  <c r="D50" i="1"/>
  <c r="D46" i="1"/>
  <c r="D47" i="1"/>
  <c r="D48" i="1"/>
  <c r="D45" i="1"/>
  <c r="D44" i="1"/>
  <c r="D43" i="1"/>
  <c r="D42" i="1"/>
  <c r="D58" i="1"/>
  <c r="D59" i="1"/>
  <c r="D56" i="1"/>
  <c r="D57" i="1"/>
  <c r="D55" i="1"/>
  <c r="D52" i="1"/>
  <c r="D53" i="1"/>
  <c r="D54" i="1"/>
  <c r="D51" i="1"/>
  <c r="D65" i="1"/>
  <c r="D66" i="1"/>
  <c r="D64" i="1"/>
  <c r="D63" i="1"/>
  <c r="D62" i="1"/>
  <c r="D61" i="1"/>
  <c r="D60" i="1"/>
  <c r="D73" i="1"/>
  <c r="D71" i="1"/>
  <c r="D69" i="1"/>
  <c r="D72" i="1"/>
  <c r="D70" i="1"/>
  <c r="D68" i="1"/>
  <c r="D67" i="1"/>
  <c r="D80" i="1"/>
  <c r="D81" i="1"/>
  <c r="D79" i="1"/>
  <c r="D78" i="1"/>
  <c r="D76" i="1"/>
  <c r="D77" i="1"/>
  <c r="D74" i="1"/>
  <c r="D75" i="1"/>
  <c r="D90" i="1"/>
  <c r="D89" i="1"/>
  <c r="D88" i="1"/>
  <c r="D87" i="1"/>
  <c r="D86" i="1"/>
  <c r="D84" i="1"/>
  <c r="D82" i="1"/>
  <c r="D85" i="1"/>
  <c r="D91" i="1"/>
  <c r="D98" i="1"/>
  <c r="D99" i="1"/>
  <c r="D95" i="1"/>
  <c r="D96" i="1"/>
  <c r="D97" i="1"/>
  <c r="D94" i="1"/>
  <c r="D93" i="1"/>
  <c r="D92" i="1"/>
  <c r="D106" i="1"/>
  <c r="D107" i="1"/>
  <c r="D105" i="1"/>
  <c r="D104" i="1"/>
  <c r="D103" i="1"/>
  <c r="D102" i="1"/>
  <c r="D101" i="1"/>
  <c r="D100" i="1"/>
  <c r="D114" i="1"/>
  <c r="D112" i="1"/>
  <c r="D113" i="1"/>
  <c r="D115" i="1"/>
  <c r="D110" i="1"/>
  <c r="D111" i="1"/>
  <c r="D109" i="1"/>
  <c r="D108" i="1"/>
  <c r="D148" i="1"/>
  <c r="D152" i="1"/>
  <c r="D139" i="1"/>
  <c r="D151" i="1"/>
  <c r="D143" i="1"/>
  <c r="D149" i="1"/>
  <c r="D132" i="1"/>
  <c r="D156" i="1"/>
  <c r="D150" i="1"/>
  <c r="D161" i="1"/>
  <c r="D159" i="1"/>
  <c r="D153" i="1"/>
  <c r="D157" i="1"/>
  <c r="D134" i="1"/>
  <c r="D154" i="1"/>
  <c r="D127" i="1"/>
  <c r="D128" i="1"/>
  <c r="D121" i="1"/>
  <c r="D137" i="1"/>
  <c r="D116" i="1"/>
  <c r="D122" i="1"/>
  <c r="D144" i="1"/>
  <c r="D119" i="1"/>
  <c r="D133" i="1"/>
  <c r="D125" i="1"/>
  <c r="D162" i="1"/>
  <c r="D126" i="1"/>
  <c r="D135" i="1"/>
  <c r="D129" i="1"/>
  <c r="D145" i="1"/>
  <c r="D120" i="1"/>
  <c r="D160" i="1"/>
  <c r="D131" i="1"/>
  <c r="D140" i="1"/>
  <c r="D141" i="1"/>
  <c r="D146" i="1"/>
  <c r="D155" i="1"/>
  <c r="D142" i="1"/>
  <c r="D147" i="1"/>
  <c r="D117" i="1"/>
  <c r="D158" i="1"/>
  <c r="D136" i="1"/>
  <c r="D123" i="1"/>
  <c r="D118" i="1"/>
  <c r="D138" i="1"/>
  <c r="D130" i="1"/>
  <c r="D124" i="1"/>
  <c r="D209" i="1" l="1"/>
  <c r="D208" i="1"/>
  <c r="D197" i="1"/>
  <c r="D202" i="1"/>
  <c r="D177" i="1"/>
  <c r="D184" i="1"/>
  <c r="D190" i="1"/>
  <c r="D191" i="1"/>
  <c r="D185" i="1"/>
  <c r="D178" i="1"/>
  <c r="D166" i="1"/>
  <c r="D165" i="1"/>
  <c r="D163" i="1"/>
  <c r="D203" i="1"/>
  <c r="D198" i="1"/>
  <c r="D192" i="1"/>
  <c r="D193" i="1"/>
  <c r="D194" i="1"/>
  <c r="D179" i="1"/>
  <c r="D170" i="1"/>
  <c r="D210" i="1"/>
  <c r="D211" i="1"/>
  <c r="D206" i="1"/>
  <c r="D188" i="1"/>
  <c r="D174" i="1"/>
  <c r="D180" i="1"/>
  <c r="D175" i="1"/>
  <c r="D199" i="1"/>
  <c r="D212" i="1"/>
  <c r="D181" i="1"/>
  <c r="D176" i="1"/>
  <c r="D171" i="1"/>
  <c r="D172" i="1"/>
  <c r="D169" i="1"/>
  <c r="D167" i="1"/>
  <c r="D205" i="1"/>
  <c r="D200" i="1"/>
  <c r="D189" i="1"/>
  <c r="D186" i="1"/>
  <c r="D182" i="1"/>
  <c r="D173" i="1"/>
  <c r="D168" i="1"/>
  <c r="D164" i="1"/>
  <c r="D201" i="1"/>
  <c r="D195" i="1"/>
  <c r="D187" i="1"/>
  <c r="D204" i="1"/>
  <c r="D196" i="1"/>
  <c r="D183" i="1"/>
  <c r="D213" i="1"/>
  <c r="D207" i="1"/>
  <c r="B213" i="1"/>
  <c r="A213" i="1"/>
  <c r="B196" i="1"/>
  <c r="A196" i="1"/>
  <c r="B204" i="1"/>
  <c r="A204" i="1"/>
  <c r="B187" i="1"/>
  <c r="A187" i="1"/>
  <c r="B195" i="1"/>
  <c r="A195" i="1"/>
  <c r="B201" i="1"/>
  <c r="A201" i="1"/>
  <c r="A164" i="1"/>
  <c r="A168" i="1"/>
  <c r="A173" i="1"/>
  <c r="A182" i="1"/>
  <c r="A186" i="1"/>
  <c r="A189" i="1"/>
  <c r="A200" i="1"/>
  <c r="A205" i="1"/>
  <c r="B169" i="1"/>
  <c r="A169" i="1"/>
  <c r="B176" i="1"/>
  <c r="A176" i="1"/>
  <c r="B181" i="1"/>
  <c r="A181" i="1"/>
  <c r="B212" i="1"/>
  <c r="A212" i="1"/>
  <c r="B199" i="1"/>
  <c r="A199" i="1"/>
  <c r="B175" i="1"/>
  <c r="A175" i="1"/>
  <c r="B180" i="1"/>
  <c r="A180" i="1"/>
  <c r="B174" i="1"/>
  <c r="A174" i="1"/>
  <c r="B188" i="1"/>
  <c r="A188" i="1"/>
  <c r="B206" i="1"/>
  <c r="A206" i="1"/>
  <c r="B211" i="1"/>
  <c r="A211" i="1"/>
  <c r="B210" i="1"/>
  <c r="A210" i="1"/>
  <c r="A170" i="1"/>
  <c r="A179" i="1"/>
  <c r="A193" i="1"/>
  <c r="A192" i="1"/>
  <c r="A198" i="1"/>
  <c r="A203" i="1"/>
  <c r="B163" i="1"/>
  <c r="A163" i="1"/>
  <c r="B165" i="1"/>
  <c r="A165" i="1"/>
  <c r="B178" i="1"/>
  <c r="A178" i="1"/>
  <c r="B185" i="1"/>
  <c r="A185" i="1"/>
  <c r="B191" i="1"/>
  <c r="A191" i="1"/>
  <c r="B190" i="1"/>
  <c r="A190" i="1"/>
  <c r="B184" i="1"/>
  <c r="A184" i="1"/>
  <c r="B177" i="1"/>
  <c r="A177" i="1"/>
  <c r="B202" i="1"/>
  <c r="A202" i="1"/>
  <c r="B197" i="1"/>
  <c r="A197" i="1"/>
  <c r="B208" i="1"/>
  <c r="A208" i="1"/>
  <c r="B209" i="1"/>
  <c r="A209" i="1"/>
  <c r="B207" i="1"/>
  <c r="A207" i="1"/>
  <c r="B108" i="1"/>
  <c r="A108" i="1"/>
  <c r="B100" i="1"/>
  <c r="A100" i="1"/>
  <c r="B85" i="1"/>
  <c r="A85" i="1"/>
  <c r="B109" i="1"/>
  <c r="A109" i="1"/>
  <c r="B82" i="1"/>
  <c r="A82" i="1"/>
  <c r="B111" i="1"/>
  <c r="A111" i="1"/>
  <c r="B110" i="1"/>
  <c r="A110" i="1"/>
  <c r="B101" i="1"/>
  <c r="A101" i="1"/>
  <c r="B67" i="1"/>
  <c r="A67" i="1"/>
  <c r="B86" i="1"/>
  <c r="A86" i="1"/>
  <c r="B102" i="1"/>
  <c r="A102" i="1"/>
  <c r="B93" i="1"/>
  <c r="A93" i="1"/>
  <c r="B75" i="1"/>
  <c r="A75" i="1"/>
  <c r="B68" i="1"/>
  <c r="B103" i="1"/>
  <c r="A103" i="1"/>
  <c r="B94" i="1"/>
  <c r="A94" i="1"/>
  <c r="B104" i="1"/>
  <c r="B87" i="1"/>
  <c r="A87" i="1"/>
  <c r="B88" i="1"/>
  <c r="A88" i="1"/>
  <c r="B74" i="1"/>
  <c r="A74" i="1"/>
  <c r="B115" i="1"/>
  <c r="A115" i="1"/>
  <c r="B113" i="1"/>
  <c r="A113" i="1"/>
  <c r="B112" i="1"/>
  <c r="A112" i="1"/>
  <c r="B89" i="1"/>
  <c r="A89" i="1"/>
  <c r="B105" i="1"/>
  <c r="A105" i="1"/>
  <c r="B77" i="1"/>
  <c r="A77" i="1"/>
  <c r="B76" i="1"/>
  <c r="A76" i="1"/>
  <c r="B97" i="1"/>
  <c r="A97" i="1"/>
  <c r="B96" i="1"/>
  <c r="A96" i="1"/>
  <c r="B95" i="1"/>
  <c r="A95" i="1"/>
  <c r="B78" i="1"/>
  <c r="A78" i="1"/>
  <c r="B79" i="1"/>
  <c r="A79" i="1"/>
  <c r="B70" i="1"/>
  <c r="A70" i="1"/>
  <c r="B72" i="1"/>
  <c r="A72" i="1"/>
  <c r="B69" i="1"/>
  <c r="A69" i="1"/>
  <c r="B107" i="1"/>
  <c r="A107" i="1"/>
  <c r="B106" i="1"/>
  <c r="A106" i="1"/>
  <c r="B71" i="1"/>
  <c r="A71" i="1"/>
  <c r="B81" i="1"/>
  <c r="A81" i="1"/>
  <c r="B80" i="1"/>
  <c r="A80" i="1"/>
  <c r="B114" i="1"/>
  <c r="A114" i="1"/>
  <c r="B90" i="1"/>
  <c r="A90" i="1"/>
  <c r="B73" i="1"/>
  <c r="A73" i="1"/>
  <c r="B98" i="1"/>
  <c r="A98" i="1"/>
  <c r="B16" i="1"/>
  <c r="A16" i="1"/>
  <c r="B8" i="1"/>
  <c r="A8" i="1"/>
  <c r="B2" i="1"/>
  <c r="A2" i="1"/>
  <c r="B3" i="1"/>
  <c r="A3" i="1"/>
  <c r="B42" i="1"/>
  <c r="A42" i="1"/>
  <c r="B4" i="1"/>
  <c r="A4" i="1"/>
  <c r="B35" i="1"/>
  <c r="A35" i="1"/>
  <c r="B26" i="1"/>
  <c r="A26" i="1"/>
  <c r="B36" i="1"/>
  <c r="A36" i="1"/>
  <c r="B51" i="1"/>
  <c r="A51" i="1"/>
  <c r="B43" i="1"/>
  <c r="A43" i="1"/>
  <c r="B38" i="1"/>
  <c r="A38" i="1"/>
  <c r="B37" i="1"/>
  <c r="A37" i="1"/>
  <c r="B27" i="1"/>
  <c r="A27" i="1"/>
  <c r="B10" i="1"/>
  <c r="A10" i="1"/>
  <c r="B44" i="1"/>
  <c r="A44" i="1"/>
  <c r="B11" i="1"/>
  <c r="A11" i="1"/>
  <c r="B45" i="1"/>
  <c r="A45" i="1"/>
  <c r="B28" i="1"/>
  <c r="A28" i="1"/>
  <c r="B54" i="1"/>
  <c r="A54" i="1"/>
  <c r="B47" i="1"/>
  <c r="A47" i="1"/>
  <c r="B46" i="1"/>
  <c r="A46" i="1"/>
  <c r="B53" i="1"/>
  <c r="A53" i="1"/>
  <c r="B39" i="1"/>
  <c r="A39" i="1"/>
  <c r="B52" i="1"/>
  <c r="A52" i="1"/>
  <c r="B12" i="1"/>
  <c r="A12" i="1"/>
  <c r="B55" i="1"/>
  <c r="A55" i="1"/>
  <c r="B30" i="1"/>
  <c r="A30" i="1"/>
  <c r="B29" i="1"/>
  <c r="A29" i="1"/>
  <c r="B17" i="1"/>
  <c r="A17" i="1"/>
  <c r="B40" i="1"/>
  <c r="A40" i="1"/>
  <c r="B32" i="1"/>
  <c r="A32" i="1"/>
  <c r="B31" i="1"/>
  <c r="A31" i="1"/>
  <c r="B19" i="1"/>
  <c r="A19" i="1"/>
  <c r="B14" i="1"/>
  <c r="A14" i="1"/>
  <c r="B13" i="1"/>
  <c r="A13" i="1"/>
  <c r="B56" i="1"/>
  <c r="A56" i="1"/>
  <c r="B33" i="1"/>
  <c r="A33" i="1"/>
  <c r="B15" i="1"/>
  <c r="A15" i="1"/>
  <c r="B59" i="1"/>
  <c r="A59" i="1"/>
  <c r="B58" i="1"/>
  <c r="A58" i="1"/>
  <c r="B50" i="1"/>
  <c r="A50" i="1"/>
  <c r="B49" i="1"/>
  <c r="A49" i="1"/>
  <c r="B41" i="1"/>
  <c r="A41" i="1"/>
  <c r="B24" i="1"/>
  <c r="A24" i="1"/>
  <c r="B23" i="1"/>
  <c r="A23" i="1"/>
  <c r="B22" i="1"/>
  <c r="A22" i="1"/>
  <c r="B21" i="1"/>
  <c r="A21" i="1"/>
</calcChain>
</file>

<file path=xl/sharedStrings.xml><?xml version="1.0" encoding="utf-8"?>
<sst xmlns="http://schemas.openxmlformats.org/spreadsheetml/2006/main" count="399" uniqueCount="259">
  <si>
    <t>SM</t>
  </si>
  <si>
    <t>BS</t>
  </si>
  <si>
    <t>Mağaza adı</t>
  </si>
  <si>
    <t>raf_sayisi</t>
  </si>
  <si>
    <t>Grup_13</t>
  </si>
  <si>
    <t>Grup_14</t>
  </si>
  <si>
    <t>Grup_15</t>
  </si>
  <si>
    <t>Grup_16</t>
  </si>
  <si>
    <t>Grup_17</t>
  </si>
  <si>
    <t>Grup_18</t>
  </si>
  <si>
    <t>Grup_19</t>
  </si>
  <si>
    <t>Grup_28</t>
  </si>
  <si>
    <t>Grup_22</t>
  </si>
  <si>
    <t>Grup_23</t>
  </si>
  <si>
    <t>Grup_24</t>
  </si>
  <si>
    <t>Grup_25</t>
  </si>
  <si>
    <t>Grup_27</t>
  </si>
  <si>
    <t>Grup_21</t>
  </si>
  <si>
    <t>Grup_12</t>
  </si>
  <si>
    <t>Grup_11</t>
  </si>
  <si>
    <t>Grup 30</t>
  </si>
  <si>
    <t>Deniz Muratpaşa Antalya</t>
  </si>
  <si>
    <t>Güllük Muratpaşa Antalya</t>
  </si>
  <si>
    <t>Pamir Muratpaşa Antalya</t>
  </si>
  <si>
    <t>Spotçular Çarşısı Muratpaşa Antalya</t>
  </si>
  <si>
    <t>ALİ AKÇAY</t>
  </si>
  <si>
    <t>İBRAHİM DURBALİ</t>
  </si>
  <si>
    <t>Paşa caddesi</t>
  </si>
  <si>
    <t>Sosyal Güvenlik Muratpaşa Antalya</t>
  </si>
  <si>
    <t>Hamidiye Muratpaşa Antalya</t>
  </si>
  <si>
    <t>Medstar Muratpaşa Antalya</t>
  </si>
  <si>
    <t>Abdi ipekçi cd./Muratpaşa / ANTALYA</t>
  </si>
  <si>
    <t>Çatalköprü Cd. Muratpaşa Antalya</t>
  </si>
  <si>
    <t>Orhan Veli Cd Kepez Antalya</t>
  </si>
  <si>
    <t>Kocatepe Kepez Antalya</t>
  </si>
  <si>
    <t>Muratpaşa / ANTALYA</t>
  </si>
  <si>
    <t>Mithatpaşa Kepez Antalya</t>
  </si>
  <si>
    <t>Ulus Kepez Antalya</t>
  </si>
  <si>
    <t>Orduevi / ANTALYA</t>
  </si>
  <si>
    <t>Dokuma KEPEZ Antalya</t>
  </si>
  <si>
    <t>Yeşiltepe Kepez Antalya</t>
  </si>
  <si>
    <t>Soğuksu Muratpaşa Antalya</t>
  </si>
  <si>
    <t>ÜMİT KIRBAŞ</t>
  </si>
  <si>
    <t>Aydın Kanza</t>
  </si>
  <si>
    <t>Bahçelievler Muratpaşa Antalya</t>
  </si>
  <si>
    <t xml:space="preserve">Meltem Muratpaşa Antalya </t>
  </si>
  <si>
    <t>Sedir Muratpaşa Antalya</t>
  </si>
  <si>
    <t>Zambak Muratpaşa Antalya</t>
  </si>
  <si>
    <t>Kapalı Yol Muratpaşa/Antalya</t>
  </si>
  <si>
    <t>Zafer Dokuma Kepez Antalya</t>
  </si>
  <si>
    <t>Bayındır Muratpaşa Antalya</t>
  </si>
  <si>
    <t>EMRAH AKINCI</t>
  </si>
  <si>
    <t>Kemerağzı Muratpaşa Antalya</t>
  </si>
  <si>
    <t>Dutlubahçe / ANTALYA</t>
  </si>
  <si>
    <t>Üçgen Mah  / ANTALYA</t>
  </si>
  <si>
    <t>Adliye Muratpaşa Antalya</t>
  </si>
  <si>
    <t>Güvenlik Muratpaşa Antalya</t>
  </si>
  <si>
    <t>ÖZKAN DEMİR</t>
  </si>
  <si>
    <t>Varlık Muratpaşa</t>
  </si>
  <si>
    <t>Tonguç / ANTALYA</t>
  </si>
  <si>
    <t>Barınaklar Muratpaşa Antalya</t>
  </si>
  <si>
    <t>Fikri Erten Kepez Antalya</t>
  </si>
  <si>
    <t>Altındağ Muratpaşa Antalya</t>
  </si>
  <si>
    <t>Yahya Kemal Kepez/Antalya</t>
  </si>
  <si>
    <t>Yıldız Muratpaşa Antalya</t>
  </si>
  <si>
    <t>FİKRET HOCA</t>
  </si>
  <si>
    <t xml:space="preserve">Osman Gazi Muratpaşa Antalya </t>
  </si>
  <si>
    <t>Tıp Merkezi Muratpaşa Antalya</t>
  </si>
  <si>
    <t>Sosyal Bilimler Muratpaşa Antalya</t>
  </si>
  <si>
    <t>Şarampol Muratpaşa Antalya</t>
  </si>
  <si>
    <t>Yaşam Muratpaşa Antalya</t>
  </si>
  <si>
    <t>Memurevleri Muratpaşa Antalya</t>
  </si>
  <si>
    <t>Pınar Caddesi Muratpaşa Antalya</t>
  </si>
  <si>
    <t>Cumhuriyet Muratpaşa Antalya</t>
  </si>
  <si>
    <t>Fetane Muratpaşa Antalya</t>
  </si>
  <si>
    <t>Fabrikalar Kepez Antalya</t>
  </si>
  <si>
    <t>Kümeevleri Muratpaşa Antalya</t>
  </si>
  <si>
    <t>Örnekköy Muratpaşa Antalya</t>
  </si>
  <si>
    <t>NESLİHAN ÖZYURT</t>
  </si>
  <si>
    <t>Ahmet yesevi</t>
  </si>
  <si>
    <t>Mimar Sinan Muratpaşa Antalya</t>
  </si>
  <si>
    <t>Meriç Muratpaşa Antalya</t>
  </si>
  <si>
    <t>Lara Cad. Muratpaşa Antalya</t>
  </si>
  <si>
    <t>Rasih Kaplan Cd Kepez Antalya</t>
  </si>
  <si>
    <t>Selekler Muratpaşa Antalya</t>
  </si>
  <si>
    <t>GİZEM TOSUN</t>
  </si>
  <si>
    <t>DOĞAN İSTEMİHAN</t>
  </si>
  <si>
    <t>Kızıltoprak / ANTALYA</t>
  </si>
  <si>
    <t>Termessos Muratpaşa Antalya</t>
  </si>
  <si>
    <t>KılıçPark Muratpaşa Antalya</t>
  </si>
  <si>
    <t>İSMET YILMAZ</t>
  </si>
  <si>
    <t>Aydınlıkevler Muratpaşa Antalya</t>
  </si>
  <si>
    <t>Yeşildere Muratpaşa Antalya</t>
  </si>
  <si>
    <t>Mevlana / ANTALYA</t>
  </si>
  <si>
    <t>Zerdalilik / Muratpaşa / ANTALYA</t>
  </si>
  <si>
    <t>Karşıyaka Kepez Antalya</t>
  </si>
  <si>
    <t>Şehit Ercan Cd. Muratpaşa Antalya</t>
  </si>
  <si>
    <t>Yenigün / ANTALYA</t>
  </si>
  <si>
    <t>Yanyol Muratpaşa Antalya</t>
  </si>
  <si>
    <t>Gençlik/Muratpaşa/ANTALYA</t>
  </si>
  <si>
    <t>Milli Egemenlik Muratpaşa ANTALYA</t>
  </si>
  <si>
    <t>İmam Hatip Muratpaşa Antalya</t>
  </si>
  <si>
    <t>Karacaoğlan / ANTALYA</t>
  </si>
  <si>
    <t>Kızılarık / ANTALYA</t>
  </si>
  <si>
    <t>İbni Sina Muratpaşa Antalya</t>
  </si>
  <si>
    <t>Kayıkent Muratpaşa Antalya</t>
  </si>
  <si>
    <t>Eroğlu Muratpaşa Antalya</t>
  </si>
  <si>
    <t>Evliya Çelebi Muratpaşa Antalya</t>
  </si>
  <si>
    <t>Konuksever Muratpaşa Antalya</t>
  </si>
  <si>
    <t>Cahit Sıtkı Muratpaşa Antalya</t>
  </si>
  <si>
    <t>Pazaryeri Muratpaşa Antalya</t>
  </si>
  <si>
    <t>Celal Kaya Muratpaşa Antalya</t>
  </si>
  <si>
    <t>Muhtarlık Muratpaşa/Antalya</t>
  </si>
  <si>
    <t>Kaleiçi Muratpaşa Antalya</t>
  </si>
  <si>
    <t>Ören Şehir Camii Kepez Antalya</t>
  </si>
  <si>
    <t>Yükseliş Mh Kepez Antalya</t>
  </si>
  <si>
    <r>
      <rPr>
        <sz val="9"/>
        <rFont val="Arial"/>
        <family val="2"/>
        <charset val="162"/>
      </rPr>
      <t xml:space="preserve">Zübeyde Hanım KEPEZ/ </t>
    </r>
    <r>
      <rPr>
        <sz val="9"/>
        <color rgb="FF000000"/>
        <rFont val="Arial"/>
        <family val="2"/>
        <charset val="162"/>
      </rPr>
      <t>Antalya</t>
    </r>
  </si>
  <si>
    <t>Yunus Emre Cad./Muratpaşa/ANTALYA</t>
  </si>
  <si>
    <t>Balbey Muratpaşa Antalya</t>
  </si>
  <si>
    <t>Servet Muratpaşa Antalya</t>
  </si>
  <si>
    <t>Işıklar</t>
  </si>
  <si>
    <t>Etiler / ANTALYA</t>
  </si>
  <si>
    <t>Yener Ulusoy Muratpaşa Antalya</t>
  </si>
  <si>
    <t>Bulvar Antalya Muratpaşa</t>
  </si>
  <si>
    <t>Meydan Muratpaşa Antalya</t>
  </si>
  <si>
    <t>Gazi Bulvarı / ANTALYA</t>
  </si>
  <si>
    <t>Kızıl Saray Muratpaşa/Antalya</t>
  </si>
  <si>
    <t>Yenikapı Muratpaşa Antalya</t>
  </si>
  <si>
    <t>Gebizli Muratpaşa Antalya</t>
  </si>
  <si>
    <t>Köroğlu Muratpaşa Antalya</t>
  </si>
  <si>
    <t>Büyükşehir Muratpaşa Antalya</t>
  </si>
  <si>
    <t>Işık Caddesi Kepez/Antalya</t>
  </si>
  <si>
    <t>Kahve Çekirdeği Kepez Antalya</t>
  </si>
  <si>
    <t>İSMAİL YAZGAN</t>
  </si>
  <si>
    <t xml:space="preserve">İsmetpaşa Caddesi Muratpaşa </t>
  </si>
  <si>
    <t>Cebesoy / ANTALYA</t>
  </si>
  <si>
    <t xml:space="preserve">Mehmet Çetin Muratpaşa/Antalya </t>
  </si>
  <si>
    <t>Yaka Kepez Antalya</t>
  </si>
  <si>
    <t>Aşık Veysel Muratpaşa Antalya</t>
  </si>
  <si>
    <t>Kızılırmak Muratpaşa Antalya</t>
  </si>
  <si>
    <t>Yeni Üç Kapılar Muratpaşa Antalya</t>
  </si>
  <si>
    <t>Karayusuf Kepez Antalya</t>
  </si>
  <si>
    <t>Zeytinpark Muratpaşa Antalya</t>
  </si>
  <si>
    <t xml:space="preserve">İSMAİL YAZGAN </t>
  </si>
  <si>
    <t>Müsellim Muratpaşa  </t>
  </si>
  <si>
    <t>Sanat Akademi Muratpaşa Antalya</t>
  </si>
  <si>
    <t>Şehit Oğuz Muratpaşa Antalya</t>
  </si>
  <si>
    <t>Stadyum Muratpaşa Antalya</t>
  </si>
  <si>
    <t>Güzeloluk Muratpaşa Antalya</t>
  </si>
  <si>
    <t>Şehitler Muratpaşa Antalya</t>
  </si>
  <si>
    <t>Avni Tolunay Muratpaşa Antalya</t>
  </si>
  <si>
    <t>12. Cadde Muratpaşa Antalya</t>
  </si>
  <si>
    <t>Çağlayan Mah. / ANTALYA</t>
  </si>
  <si>
    <t>Rauf Denktaş Muratpaşa Antalya</t>
  </si>
  <si>
    <t>Güzeloba / ANTALYA</t>
  </si>
  <si>
    <t>Kaplan Sk. Muratpaşa Antalya</t>
  </si>
  <si>
    <t>VELİ GÖK</t>
  </si>
  <si>
    <t>ÇAĞRI YALÇIN</t>
  </si>
  <si>
    <t>Ata Park Muratpaşa Antalya</t>
  </si>
  <si>
    <t>Nazım Hikmet Muratpaşa Antalya</t>
  </si>
  <si>
    <t>Ermenek Muratpaşa Antalya</t>
  </si>
  <si>
    <t>KADİR ÇETİN</t>
  </si>
  <si>
    <t>Sema Yazar Kepez Antalya</t>
  </si>
  <si>
    <t>Necip Fazıl Kepez Antalya</t>
  </si>
  <si>
    <t>15 Temmuz Kepez Antalya</t>
  </si>
  <si>
    <t>İsmail Hakkı Kaya Kepez Antalya</t>
  </si>
  <si>
    <t>Yeni Düdenbaşı Kepez Antalya</t>
  </si>
  <si>
    <t>Fatmanur Çelik Kepez Antalya</t>
  </si>
  <si>
    <t>Kütüphane Kepez Antalya</t>
  </si>
  <si>
    <t>Güneş Kepez Antalya</t>
  </si>
  <si>
    <t>Osman Yüksel Kepez Antalya</t>
  </si>
  <si>
    <t>Mehmet Akif Kepez Antalya</t>
  </si>
  <si>
    <t>Ömer Buyrukçu Cd Kepez Antalya</t>
  </si>
  <si>
    <t>Ekpa Kepez Antalya</t>
  </si>
  <si>
    <t>Serden Geçti Kepez Antalya</t>
  </si>
  <si>
    <t>Esma Sultan Kepez Antalya</t>
  </si>
  <si>
    <t>Haseki Kepez Antalya</t>
  </si>
  <si>
    <t>Ritim Kepez Antalya</t>
  </si>
  <si>
    <t>Hastane Cd. Kepez Antalya</t>
  </si>
  <si>
    <t>Şerife Tufan Kepez Antalya</t>
  </si>
  <si>
    <t>SALİH SERKAN ERÇİN</t>
  </si>
  <si>
    <t>Acil Kepez Antalya</t>
  </si>
  <si>
    <t xml:space="preserve">Hakan Karakaya Kepez Antalya </t>
  </si>
  <si>
    <t>Uhud Camii Kepez</t>
  </si>
  <si>
    <t>15 Katlılar Kepez Antalya</t>
  </si>
  <si>
    <t>TUĞBA ÇAKIR</t>
  </si>
  <si>
    <t>Düden Şelalesi Kepez Antalya</t>
  </si>
  <si>
    <t>Varsak Bey Cd. Kepez Antalya</t>
  </si>
  <si>
    <t>Alpay Anaokulu Kepez Antalya</t>
  </si>
  <si>
    <t>Hurdacılar Kepez</t>
  </si>
  <si>
    <t>Gaziler Kepez Antalya</t>
  </si>
  <si>
    <t>Spor89 Kepez Antalya</t>
  </si>
  <si>
    <t>Atatürk Cd Kepez Antalya</t>
  </si>
  <si>
    <t>Yeni Niğdeli Parkı Kepez/Antalya</t>
  </si>
  <si>
    <t>Festival Çarşısı Muratpaşa Antalya</t>
  </si>
  <si>
    <t>Güzelbağ Muratpaşa Antalya</t>
  </si>
  <si>
    <t>Portakalçiçeği / ANTALYA</t>
  </si>
  <si>
    <t>Köşk Muratpaşa Antalya</t>
  </si>
  <si>
    <t>Neşet Ertaş Muratpaşa Antalya</t>
  </si>
  <si>
    <t>TUĞÇE KOCABAŞ</t>
  </si>
  <si>
    <t>Çınarlı Cad. Muratpaşa Antalya</t>
  </si>
  <si>
    <t>Perge Bulvarı / ANTALYA</t>
  </si>
  <si>
    <t>ŞADAN YURDAKUL</t>
  </si>
  <si>
    <t>ERDAL ARSLAN</t>
  </si>
  <si>
    <t>Belediye Muratpaşa Antalya</t>
  </si>
  <si>
    <t>Fener Muratpaşa Antalya</t>
  </si>
  <si>
    <t>İbrahim Ateş Muratpaşa Antalya</t>
  </si>
  <si>
    <t>İsmet Gökşen Muratpaşa Antalya</t>
  </si>
  <si>
    <t>PTT Muratpaşa Antalya</t>
  </si>
  <si>
    <t>Sülemiş Muratpaşa Antalya</t>
  </si>
  <si>
    <t>Yalı Muratpaşa Antalya</t>
  </si>
  <si>
    <t>RAMAZAN ÇATALTAŞ</t>
  </si>
  <si>
    <t>Antalya Caddesi Kepez Antalya</t>
  </si>
  <si>
    <t>Borsa Lisesi Kepez Antalya</t>
  </si>
  <si>
    <t>Demirgül Kepez Antalya</t>
  </si>
  <si>
    <t>İsmet İnönü Kepez Antalya</t>
  </si>
  <si>
    <t>Kırçiçeği Kepez Antalya</t>
  </si>
  <si>
    <t>Nirivana Kepez Antalya</t>
  </si>
  <si>
    <t>Turgut Özal Cd. Kepez Antalya</t>
  </si>
  <si>
    <t>Üçyol Kepez Antalya</t>
  </si>
  <si>
    <t>SELİM GÜNDÜZ</t>
  </si>
  <si>
    <t>23. Cadde Kepez Antalya</t>
  </si>
  <si>
    <t>Cumartesi Pazarı Kepez Antalya</t>
  </si>
  <si>
    <t>Esentepe Kepez Antalya</t>
  </si>
  <si>
    <t>Kanal Yolu Kepez Antalya</t>
  </si>
  <si>
    <t>Muammer Aksoy Kepez Antalya</t>
  </si>
  <si>
    <t>Selçuklu Kepez Antalya</t>
  </si>
  <si>
    <t>Şahinbey Kepez Antalya</t>
  </si>
  <si>
    <t xml:space="preserve">Turgay Koca Kepez </t>
  </si>
  <si>
    <t>SİNEM ÖZKAYA</t>
  </si>
  <si>
    <t>Altınova  Kepez Antalya</t>
  </si>
  <si>
    <t>Cuma Pazarı Kepez Antalya</t>
  </si>
  <si>
    <t>Çarşamba Pazarı Kepez Antalya</t>
  </si>
  <si>
    <t>Farabi Kepez Antalya</t>
  </si>
  <si>
    <t>Göksu Mh. Kepez Antalya</t>
  </si>
  <si>
    <t>Nene Hatun Kepez Antalya</t>
  </si>
  <si>
    <t>Sinan Mh Kepez Antalya</t>
  </si>
  <si>
    <t>Suphi Türel Kepez Antalya</t>
  </si>
  <si>
    <t>ÜMİT KAAN ŞAHİN</t>
  </si>
  <si>
    <t>Ali Çetinkaya Cd./Muratpaşa/ANTALYA</t>
  </si>
  <si>
    <t>Bülent Ecevit Muratpaşa Antalya</t>
  </si>
  <si>
    <t>Düden Park Muratpaşa Antalya</t>
  </si>
  <si>
    <t>Eski Lara Cad Muratpaşa Antalya</t>
  </si>
  <si>
    <t>İstiklal İlköğretim Muratpaşa Antalya</t>
  </si>
  <si>
    <t>Kamile Çömlekçi Muratpaşa Antalya</t>
  </si>
  <si>
    <t>Kültür Merkezi Muratpaşa Antalya</t>
  </si>
  <si>
    <t>Yüksekalan Muratpaşa Antalya</t>
  </si>
  <si>
    <t>YUNUS BAYSAL</t>
  </si>
  <si>
    <t>Erbakan Kepez Antalya</t>
  </si>
  <si>
    <t>Hüsnü Karakaş Kepez Antalya</t>
  </si>
  <si>
    <t>Kız Yurdu Kepez Antalya</t>
  </si>
  <si>
    <t>Molla Gürani Kepez Antalya</t>
  </si>
  <si>
    <t>Mustafa Koç Camii Kepez-Antalya</t>
  </si>
  <si>
    <t>Ulubatlı Kepez</t>
  </si>
  <si>
    <t>Vali Recep Yazıcıoğlu Kepez Antalya</t>
  </si>
  <si>
    <t>Yüzbaşı Mustafa Ertuğrul Kepez Antalya</t>
  </si>
  <si>
    <t>Kelebek Dünyası Kepez Antalya</t>
  </si>
  <si>
    <t>KILIÇASLAN İYİCAN</t>
  </si>
  <si>
    <t>Haşip İşcan Muratpaşa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</si>
</sst>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  <charset val="162"/>
    </font>
    <font>
      <sz val="10"/>
      <name val="Arial Tur"/>
      <family val="2"/>
      <charset val="162"/>
    </font>
    <font>
      <b/>
      <sz val="11"/>
      <color rgb="FF000000"/>
      <name val="Calibri"/>
      <family val="2"/>
      <charset val="162"/>
    </font>
    <font>
      <sz val="9"/>
      <name val="Arial"/>
      <family val="2"/>
      <charset val="162"/>
    </font>
    <font>
      <sz val="9"/>
      <color rgb="FF000000"/>
      <name val="Arial"/>
      <family val="2"/>
      <charset val="162"/>
    </font>
    <font>
      <sz val="9"/>
      <color rgb="FF1C1C1C"/>
      <name val="Arial Tur"/>
      <family val="2"/>
      <charset val="162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7" fillId="0" borderId="0"/>
  </cellStyleXfs>
  <cellXfs count="14">
    <xf numFmtId="0" fontId="0" fillId="0" borderId="0" xfId="0"/>
    <xf numFmtId="0" fontId="0" fillId="0" borderId="0" xfId="0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2" fontId="2" fillId="0" borderId="1" xfId="0" applyNumberFormat="1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0" borderId="1" xfId="2" applyFont="1" applyBorder="1" applyAlignment="1" applyProtection="1">
      <alignment horizontal="center" vertical="center"/>
    </xf>
    <xf numFmtId="2" fontId="0" fillId="2" borderId="1" xfId="0" applyNumberFormat="1" applyFill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0" fontId="5" fillId="0" borderId="1" xfId="2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horizontal="center" vertical="center"/>
    </xf>
    <xf numFmtId="0" fontId="3" fillId="0" borderId="1" xfId="2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959Muratpasa\UserProfiles\9959sma03\Desktop\G&#220;NCEL%20MA&#286;AZA%20L&#304;STES&#304;&#304;%2006.01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959Muratpasa\UserProfiles\9959sma01\AppData\Local\Microsoft\C:\9959Muratpasa\UserProfiles\9959sma03\Desktop\G&#220;NCEL%20MA&#286;AZA%20L&#304;STES&#304;&#304;%2006.01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959Muratpasa\UserProfiles\9959sma01\AppData\Local\Microsoft\Windows\9959Muratpasa\UserProfiles\9959sma03\Desktop\G&#220;NCEL%20MA&#286;AZA%20L&#304;STES&#304;&#304;%2006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3"/>
      <sheetName val="MURATPAŞA BÖLGE"/>
      <sheetName val="Sayfa2"/>
      <sheetName val="MURATPAŞA BÖLGE (2)"/>
      <sheetName val="GEÇİCİ KAPAMA"/>
      <sheetName val="AKCAN ERDİ BEY"/>
      <sheetName val="KAPANAN"/>
      <sheetName val="TAŞINAN"/>
      <sheetName val="LARGE"/>
      <sheetName val="DEVRALINAN"/>
      <sheetName val="TADİLAT MAĞAZALARI"/>
      <sheetName val="ÖZET"/>
    </sheetNames>
    <sheetDataSet>
      <sheetData sheetId="0"/>
      <sheetData sheetId="1"/>
      <sheetData sheetId="2">
        <row r="1">
          <cell r="C1" t="str">
            <v>MARKET ADI</v>
          </cell>
          <cell r="D1" t="str">
            <v>MARKET ADRESİ</v>
          </cell>
          <cell r="E1" t="str">
            <v>İLÇE</v>
          </cell>
          <cell r="F1" t="str">
            <v>AÇILIŞ
TARİHİ</v>
          </cell>
          <cell r="G1" t="str">
            <v>BS</v>
          </cell>
          <cell r="H1" t="str">
            <v>SM</v>
          </cell>
        </row>
        <row r="2">
          <cell r="C2" t="str">
            <v>Bayındır Muratpaşa Antalya</v>
          </cell>
          <cell r="D2" t="str">
            <v>Soğuksu Mh. 300 Sk. Hakverdi Apt. No:36/1 Muratpaşa ANTALYA</v>
          </cell>
          <cell r="E2" t="str">
            <v>MURATPAŞA</v>
          </cell>
          <cell r="F2">
            <v>39570</v>
          </cell>
          <cell r="G2" t="str">
            <v>ÜMİT KIRBAŞ</v>
          </cell>
          <cell r="H2" t="str">
            <v>ALİ AKÇAY</v>
          </cell>
        </row>
        <row r="3">
          <cell r="C3" t="str">
            <v>Portakalçiçeği / ANTALYA</v>
          </cell>
          <cell r="D3" t="str">
            <v>Yeşilbahçe Mah.1466 Sok.Ata Apt.Altı No:29/A Antalya</v>
          </cell>
          <cell r="E3" t="str">
            <v>MURATPAŞA</v>
          </cell>
          <cell r="F3">
            <v>39573</v>
          </cell>
          <cell r="G3" t="str">
            <v>TUĞÇE KOCABAŞ</v>
          </cell>
          <cell r="H3" t="str">
            <v>VELİ GÖK</v>
          </cell>
        </row>
        <row r="4">
          <cell r="C4" t="str">
            <v>Aşık Veysel Muratpaşa Antalya</v>
          </cell>
          <cell r="D4" t="str">
            <v>Yeşildere Mah. 2830(1162) Sok. No: 12 A / Muratpaşa Antalya (3934905088)</v>
          </cell>
          <cell r="E4" t="str">
            <v>MURATPAŞA</v>
          </cell>
          <cell r="F4">
            <v>44355</v>
          </cell>
          <cell r="G4" t="str">
            <v>DOĞAN İSTEMİHAN</v>
          </cell>
          <cell r="H4" t="str">
            <v>GİZEM TOSUN</v>
          </cell>
        </row>
        <row r="5">
          <cell r="C5" t="str">
            <v>Gebizli Muratpaşa Antalya</v>
          </cell>
          <cell r="D5" t="str">
            <v>Gebizli Mahallesi 1101 sokak B blok 3B/1 Muratpaşa Antalya (1962769814)</v>
          </cell>
          <cell r="E5" t="str">
            <v>MURATPAŞA</v>
          </cell>
          <cell r="F5">
            <v>43006</v>
          </cell>
          <cell r="G5" t="str">
            <v>DOĞAN İSTEMİHAN</v>
          </cell>
          <cell r="H5" t="str">
            <v>GİZEM TOSUN</v>
          </cell>
        </row>
        <row r="6">
          <cell r="C6" t="str">
            <v>Güllük Muratpaşa Antalya</v>
          </cell>
          <cell r="D6" t="str">
            <v>Altındağ Mh. Güllük Cd. No:85 A.B.C.F Muratpaşa ANTALYA</v>
          </cell>
          <cell r="E6" t="str">
            <v>MURATPAŞA</v>
          </cell>
          <cell r="F6">
            <v>39708</v>
          </cell>
          <cell r="G6" t="str">
            <v>İBRAHİM DURBALİ</v>
          </cell>
          <cell r="H6" t="str">
            <v>ALİ AKÇAY</v>
          </cell>
        </row>
        <row r="7">
          <cell r="C7" t="str">
            <v>Kızıltoprak / ANTALYA</v>
          </cell>
          <cell r="D7" t="str">
            <v>Kızıltoprak Mah.Şehit Ercan Cad. Ayşe Adakan Apt.No:9 ANTALYA</v>
          </cell>
          <cell r="E7" t="str">
            <v>MURATPAŞA</v>
          </cell>
          <cell r="F7">
            <v>40596</v>
          </cell>
          <cell r="G7" t="str">
            <v>DOĞAN İSTEMİHAN</v>
          </cell>
          <cell r="H7" t="str">
            <v>GİZEM TOSUN</v>
          </cell>
        </row>
        <row r="8">
          <cell r="C8" t="str">
            <v>Dokuma KEPEZ Antalya</v>
          </cell>
          <cell r="D8" t="str">
            <v>Özgürlük Mh. Mithatpaşa Cd. Mülazımoğulları Apt. No:97/A Kepez ANTALYA</v>
          </cell>
          <cell r="E8" t="str">
            <v>KEPEZ</v>
          </cell>
          <cell r="F8">
            <v>39928</v>
          </cell>
          <cell r="G8" t="str">
            <v>KILIÇASLAN İYİCAN</v>
          </cell>
          <cell r="H8" t="str">
            <v>ALİ AKÇAY</v>
          </cell>
        </row>
        <row r="9">
          <cell r="C9" t="str">
            <v>Tonguç / ANTALYA</v>
          </cell>
          <cell r="D9" t="str">
            <v>Muratpaşa Mah. Tonguç Cad.568 Sok. M.Sırma Apt. No:71/1 ANTALYA</v>
          </cell>
          <cell r="E9" t="str">
            <v>MURATPAŞA</v>
          </cell>
          <cell r="F9">
            <v>39977</v>
          </cell>
          <cell r="G9" t="str">
            <v>ÜMİT KIRBAŞ</v>
          </cell>
          <cell r="H9" t="str">
            <v>ALİ AKÇAY</v>
          </cell>
        </row>
        <row r="10">
          <cell r="C10" t="str">
            <v>Güzeloba / ANTALYA</v>
          </cell>
          <cell r="D10" t="str">
            <v>Güzeloba Mah. Havaalanı Cad. Kader 2 Sok. Hasibe Köse Apt. No:2 Güzeloba  Muratpaşa/ ANTALYA</v>
          </cell>
          <cell r="E10" t="str">
            <v>MURATPAŞA</v>
          </cell>
          <cell r="F10">
            <v>40085</v>
          </cell>
          <cell r="G10" t="str">
            <v>ÇAĞRI YALÇIN</v>
          </cell>
          <cell r="H10" t="str">
            <v>VELİ GÖK</v>
          </cell>
        </row>
        <row r="11">
          <cell r="C11" t="str">
            <v>Perge Bulvarı / ANTALYA</v>
          </cell>
          <cell r="D11" t="str">
            <v>Meydan Kavağı Mah. Perge Bulvarı.Gündoğdu sitesi No:20/3-4 ANTALYA</v>
          </cell>
          <cell r="E11" t="str">
            <v>MURATPAŞA</v>
          </cell>
          <cell r="F11">
            <v>40221</v>
          </cell>
          <cell r="G11" t="str">
            <v>TUĞÇE KOCABAŞ</v>
          </cell>
          <cell r="H11" t="str">
            <v>VELİ GÖK</v>
          </cell>
        </row>
        <row r="12">
          <cell r="C12" t="str">
            <v>Çağlayan Mah. / ANTALYA</v>
          </cell>
          <cell r="D12" t="str">
            <v>Çağlayan Mah. Bülent Ecevit Bulvarı.2093 Sok. Çam Sitesi.D Blok.No:2/1 ANTALYA</v>
          </cell>
          <cell r="E12" t="str">
            <v>MURATPAŞA</v>
          </cell>
          <cell r="F12">
            <v>40325</v>
          </cell>
          <cell r="G12" t="str">
            <v>ÇAĞRI YALÇIN</v>
          </cell>
          <cell r="H12" t="str">
            <v>VELİ GÖK</v>
          </cell>
        </row>
        <row r="13">
          <cell r="C13" t="str">
            <v>Yıldız Muratpaşa Antalya</v>
          </cell>
          <cell r="D13" t="str">
            <v>Yıldız Mh. Piri Reis Cd. No:56 Muratpaşa ANTALYA</v>
          </cell>
          <cell r="E13" t="str">
            <v>MURATPAŞA</v>
          </cell>
          <cell r="F13">
            <v>40436</v>
          </cell>
          <cell r="G13" t="str">
            <v>ÖZKAN DEMİR</v>
          </cell>
          <cell r="H13" t="str">
            <v>ALİ AKÇAY</v>
          </cell>
        </row>
        <row r="14">
          <cell r="C14" t="str">
            <v>Muhtarlık Muratpaşa/Antalya</v>
          </cell>
          <cell r="D14" t="str">
            <v>Gebizli mahallesi, İbni Sina Caddesi, Gebizli Muhtarlık Karşısı No:52A Muratpaşa/Antalya</v>
          </cell>
          <cell r="E14" t="str">
            <v>MURATPAŞA</v>
          </cell>
          <cell r="F14">
            <v>45503</v>
          </cell>
          <cell r="G14" t="str">
            <v>DOĞAN İSTEMİHAN</v>
          </cell>
          <cell r="H14" t="str">
            <v>GİZEM TOSUN</v>
          </cell>
        </row>
        <row r="15">
          <cell r="C15" t="str">
            <v>Termessos Muratpaşa Antalya</v>
          </cell>
          <cell r="D15" t="str">
            <v>Mehmetçik Mahallesi Termessos Bulvarı No: 15 A Muratpaşa Antalya ( 1729977379 )</v>
          </cell>
          <cell r="E15" t="str">
            <v>MURATPAŞA</v>
          </cell>
          <cell r="F15">
            <v>42810</v>
          </cell>
          <cell r="G15" t="str">
            <v>DOĞAN İSTEMİHAN</v>
          </cell>
          <cell r="H15" t="str">
            <v>GİZEM TOSUN</v>
          </cell>
        </row>
        <row r="16">
          <cell r="C16" t="str">
            <v>Deniz Muratpaşa Antalya</v>
          </cell>
          <cell r="D16" t="str">
            <v>Deniz Mh. 122 Sk. Sedef Apt.No :8/ 1-2 Muratpaşa ANTALYA</v>
          </cell>
          <cell r="E16" t="str">
            <v>MURATPAŞA</v>
          </cell>
          <cell r="F16">
            <v>40600</v>
          </cell>
          <cell r="G16" t="str">
            <v>İBRAHİM DURBALİ</v>
          </cell>
          <cell r="H16" t="str">
            <v>ALİ AKÇAY</v>
          </cell>
        </row>
        <row r="17">
          <cell r="C17" t="str">
            <v>Yeşildere Muratpaşa Antalya</v>
          </cell>
          <cell r="D17" t="str">
            <v>Yeşildere Mah. 2830 Sok. No: 40 A Muratpaşa Antalya (1671479929)</v>
          </cell>
          <cell r="E17" t="str">
            <v>MURATPAŞA</v>
          </cell>
          <cell r="F17">
            <v>43396</v>
          </cell>
          <cell r="G17" t="str">
            <v>DOĞAN İSTEMİHAN</v>
          </cell>
          <cell r="H17" t="str">
            <v>GİZEM TOSUN</v>
          </cell>
        </row>
        <row r="18">
          <cell r="C18" t="str">
            <v>Bahçelievler Muratpaşa Antalya</v>
          </cell>
          <cell r="D18" t="str">
            <v>Varlık Mh. 175 Sk. No:4 A-B Muratpaşa ANTALYA</v>
          </cell>
          <cell r="E18" t="str">
            <v>MURATPAŞA</v>
          </cell>
          <cell r="F18">
            <v>40732</v>
          </cell>
          <cell r="G18" t="str">
            <v>İBRAHİM DURBALİ</v>
          </cell>
          <cell r="H18" t="str">
            <v>ALİ AKÇAY</v>
          </cell>
        </row>
        <row r="19">
          <cell r="C19" t="str">
            <v>Dutlubahçe / ANTALYA</v>
          </cell>
          <cell r="D19" t="str">
            <v>Dutlubahçe Mah.Fatih Cad.746 Sok.No:5 Muratpaşa / Antalya</v>
          </cell>
          <cell r="E19" t="str">
            <v>MURATPAŞA</v>
          </cell>
          <cell r="F19">
            <v>41162</v>
          </cell>
          <cell r="G19" t="str">
            <v>NESLİHAN ÖZYURT</v>
          </cell>
          <cell r="H19" t="str">
            <v>ALİ AKÇAY</v>
          </cell>
        </row>
        <row r="20">
          <cell r="C20" t="str">
            <v>Zeytinpark Muratpaşa Antalya</v>
          </cell>
          <cell r="D20" t="str">
            <v>Gebizli Mah. Aşık Veysel Cad. No:36 /1AB-36 /1AC Muratpaşa Antalya (3127326548) (2878940622)</v>
          </cell>
          <cell r="E20" t="str">
            <v>MURATPAŞA</v>
          </cell>
          <cell r="F20">
            <v>44880</v>
          </cell>
          <cell r="G20" t="str">
            <v>DOĞAN İSTEMİHAN</v>
          </cell>
          <cell r="H20" t="str">
            <v>GİZEM TOSUN</v>
          </cell>
        </row>
        <row r="21">
          <cell r="C21" t="str">
            <v>Bulvar Antalya Muratpaşa</v>
          </cell>
          <cell r="D21" t="str">
            <v>kızılarık mahallesi Köroğlu bulvarı no:3A Muratpaşa/antalya</v>
          </cell>
          <cell r="E21" t="str">
            <v>MURATPAŞA</v>
          </cell>
          <cell r="F21">
            <v>45930</v>
          </cell>
          <cell r="G21" t="str">
            <v>FATİH SERT</v>
          </cell>
          <cell r="H21" t="str">
            <v>GİZEM TOSUN</v>
          </cell>
        </row>
        <row r="22">
          <cell r="C22" t="str">
            <v>Üçgen Mah  / ANTALYA</v>
          </cell>
          <cell r="D22" t="str">
            <v>Üçgen Mah. 104 Sok. Doğan Apt. No : 1 / 3-4  Muratpaşa / ANTALYA</v>
          </cell>
          <cell r="E22" t="str">
            <v>MURATPAŞA</v>
          </cell>
          <cell r="F22">
            <v>41454</v>
          </cell>
          <cell r="G22" t="str">
            <v>ÜMİT KIRBAŞ</v>
          </cell>
          <cell r="H22" t="str">
            <v>ALİ AKÇAY</v>
          </cell>
        </row>
        <row r="23">
          <cell r="C23" t="str">
            <v>İmam Hatip Muratpaşa Antalya</v>
          </cell>
          <cell r="D23" t="str">
            <v>Kızılarık Mah. 2773 Sok. Dervişoğlu 6 Apt. Altı Sit. C Blok Apt.  No:9 A- 9 B Muratpaşa Antalya</v>
          </cell>
          <cell r="E23" t="str">
            <v>MURATPAŞA</v>
          </cell>
          <cell r="F23">
            <v>43523</v>
          </cell>
          <cell r="G23" t="str">
            <v>FATİH SERT</v>
          </cell>
          <cell r="H23" t="str">
            <v>GİZEM TOSUN</v>
          </cell>
        </row>
        <row r="24">
          <cell r="C24" t="str">
            <v>Muratpaşa / ANTALYA</v>
          </cell>
          <cell r="D24" t="str">
            <v>Muratpaşa Mah. 562 Sok. Aydıcan   Apt 2 No : 45 / A - B Muratpaşa ANTALYA</v>
          </cell>
          <cell r="E24" t="str">
            <v>MURATPAŞA</v>
          </cell>
          <cell r="F24">
            <v>41488</v>
          </cell>
          <cell r="G24" t="str">
            <v>ÜMİT KIRBAŞ</v>
          </cell>
          <cell r="H24" t="str">
            <v>ALİ AKÇAY</v>
          </cell>
        </row>
        <row r="25">
          <cell r="C25" t="str">
            <v>Cumhuriyet Muratpaşa Antalya</v>
          </cell>
          <cell r="D25" t="str">
            <v>Cumhuriyet Mah. 625 Sok. Özyörük Apt. No : 16 / 1 Muratpaşa / ANTALYA</v>
          </cell>
          <cell r="E25" t="str">
            <v>MURATPAŞA</v>
          </cell>
          <cell r="F25">
            <v>41514</v>
          </cell>
          <cell r="G25" t="str">
            <v>NESLİHAN ÖZYURT</v>
          </cell>
          <cell r="H25" t="str">
            <v>ALİ AKÇAY</v>
          </cell>
        </row>
        <row r="26">
          <cell r="C26" t="str">
            <v>Karacaoğlan / ANTALYA</v>
          </cell>
          <cell r="D26" t="str">
            <v>Etiler Mah. Karacaoğlan Cad. No:100 /1-2 nolu Dükkan Muratpaşa / ANTALYA</v>
          </cell>
          <cell r="E26" t="str">
            <v>MURATPAŞA</v>
          </cell>
          <cell r="F26">
            <v>41619</v>
          </cell>
          <cell r="G26" t="str">
            <v>FATİH SERT</v>
          </cell>
          <cell r="H26" t="str">
            <v>GİZEM TOSUN</v>
          </cell>
        </row>
        <row r="27">
          <cell r="C27" t="str">
            <v>Orduevi / ANTALYA</v>
          </cell>
          <cell r="D27" t="str">
            <v>Elmalı Mah.25.Sok.Esat Uluhan İşhanı No:9/A Muratpaşa/ANTALYA</v>
          </cell>
          <cell r="E27" t="str">
            <v>MURATPAŞA</v>
          </cell>
          <cell r="F27">
            <v>41620</v>
          </cell>
          <cell r="G27" t="str">
            <v>İBRAHİM DURBALİ</v>
          </cell>
          <cell r="H27" t="str">
            <v>ALİ AKÇAY</v>
          </cell>
        </row>
        <row r="28">
          <cell r="C28" t="str">
            <v>Pamir Muratpaşa Antalya</v>
          </cell>
          <cell r="D28" t="str">
            <v>Bahçelievler Mh. Pamir Cd. İbrahim Uzun Apt. No : 12 / 11 Muratpaşa ANTALYA</v>
          </cell>
          <cell r="E28" t="str">
            <v>MURATPAŞA</v>
          </cell>
          <cell r="F28">
            <v>41632</v>
          </cell>
          <cell r="G28" t="str">
            <v>İBRAHİM DURBALİ</v>
          </cell>
          <cell r="H28" t="str">
            <v>ALİ AKÇAY</v>
          </cell>
        </row>
        <row r="29">
          <cell r="C29" t="str">
            <v>Güneş Kepez Antalya</v>
          </cell>
          <cell r="D29" t="str">
            <v>Güneş Mh. Osman Yüksel Serden Geçti Cd. Karakuş Apt. No:112 10-11 Kepez ANTALYA</v>
          </cell>
          <cell r="E29" t="str">
            <v>KEPEZ</v>
          </cell>
          <cell r="F29">
            <v>41719</v>
          </cell>
          <cell r="G29" t="str">
            <v>KERİM YÜREKLİ</v>
          </cell>
          <cell r="H29" t="str">
            <v>VELİ GÖK</v>
          </cell>
        </row>
        <row r="30">
          <cell r="C30" t="str">
            <v>Kızılarık / ANTALYA</v>
          </cell>
          <cell r="D30" t="str">
            <v>Konuksever Mah.Kızılırmak Cad.Solmaz İnş.Uğur Ömür Apt.No:113 A-B ANTALYA</v>
          </cell>
          <cell r="E30" t="str">
            <v>MURATPAŞA</v>
          </cell>
          <cell r="F30">
            <v>40590</v>
          </cell>
          <cell r="G30" t="str">
            <v>FATİH SERT</v>
          </cell>
          <cell r="H30" t="str">
            <v>GİZEM TOSUN</v>
          </cell>
        </row>
        <row r="31">
          <cell r="C31" t="str">
            <v>Mehmet Akif Kepez Antalya</v>
          </cell>
          <cell r="D31" t="str">
            <v>Mehmet Akif Ersoy Mh. Osman Yüksel Serdengeçti Cd. Kutlu Apt.No:27/A Kepez ANTALYA</v>
          </cell>
          <cell r="E31" t="str">
            <v>KEPEZ</v>
          </cell>
          <cell r="F31">
            <v>41766</v>
          </cell>
          <cell r="G31" t="str">
            <v>KERİM YÜREKLİ</v>
          </cell>
          <cell r="H31" t="str">
            <v>VELİ GÖK</v>
          </cell>
        </row>
        <row r="32">
          <cell r="C32" t="str">
            <v>İsmail Hakkı Kaya Kepez Antalya</v>
          </cell>
          <cell r="D32" t="str">
            <v>Teomanpaşa Mh. 2282 Sk. No:4/5-6 Kepez  ANTALYA</v>
          </cell>
          <cell r="E32" t="str">
            <v>KEPEZ</v>
          </cell>
          <cell r="F32">
            <v>41864</v>
          </cell>
          <cell r="G32" t="str">
            <v>KADİR ÇETİN</v>
          </cell>
          <cell r="H32" t="str">
            <v>VELİ GÖK</v>
          </cell>
        </row>
        <row r="33">
          <cell r="C33" t="str">
            <v>Hastane Cd. Kepez Antalya</v>
          </cell>
          <cell r="D33" t="str">
            <v>Hüsnü Karakaş Mh. Hastane Cd. Ünzile Sert Apt. No:82/7-8 Kepez ANTALYA</v>
          </cell>
          <cell r="E33" t="str">
            <v>KEPEZ</v>
          </cell>
          <cell r="F33">
            <v>41898</v>
          </cell>
          <cell r="G33" t="str">
            <v>SALİH SERKAN ERÇİN</v>
          </cell>
          <cell r="H33" t="str">
            <v>VELİ GÖK</v>
          </cell>
        </row>
        <row r="34">
          <cell r="C34" t="str">
            <v>Köroğlu Muratpaşa Antalya</v>
          </cell>
          <cell r="D34" t="str">
            <v>Yenigün Mah. Köroğlu Blv. Site St. B Blok No: 48B / A Muratpaşa ANTALYA ( 2866637248 )</v>
          </cell>
          <cell r="E34" t="str">
            <v>MURATPAŞA</v>
          </cell>
          <cell r="F34">
            <v>42790</v>
          </cell>
          <cell r="G34" t="str">
            <v>FATİH SERT</v>
          </cell>
          <cell r="H34" t="str">
            <v>GİZEM TOSUN</v>
          </cell>
        </row>
        <row r="35">
          <cell r="C35" t="str">
            <v>Ali Çetinkaya Cd./Muratpaşa/ANTALYA</v>
          </cell>
          <cell r="D35" t="str">
            <v>Çaybaşı Mah. 1351 sok. No:2 Feride Türkmen Apt. Muratpaşa / ANTALYA</v>
          </cell>
          <cell r="E35" t="str">
            <v>MURATPAŞA</v>
          </cell>
          <cell r="F35">
            <v>42054</v>
          </cell>
          <cell r="G35" t="str">
            <v>ÜMİT KAAN ŞAHİN</v>
          </cell>
          <cell r="H35" t="str">
            <v>ŞADAN YURDAKUL</v>
          </cell>
        </row>
        <row r="36">
          <cell r="C36" t="str">
            <v>Şahinbey Kepez Antalya</v>
          </cell>
          <cell r="D36" t="str">
            <v>Varsak Menderes Mh. Şahin Bey Cd. No:3 /2-3 Kepez ANTALYA</v>
          </cell>
          <cell r="E36" t="str">
            <v>KEPEZ</v>
          </cell>
          <cell r="F36">
            <v>42054</v>
          </cell>
          <cell r="G36" t="str">
            <v>SELİM GÜNDÜZ</v>
          </cell>
          <cell r="H36" t="str">
            <v>ŞADAN YURDAKUL</v>
          </cell>
        </row>
        <row r="37">
          <cell r="C37" t="str">
            <v>Muammer Aksoy Kepez Antalya</v>
          </cell>
          <cell r="D37" t="str">
            <v>Habipler Mh. Muammer Aksoy Cd. No: 9 /A-B-C  Kepez ANTALYA</v>
          </cell>
          <cell r="E37" t="str">
            <v>KEPEZ</v>
          </cell>
          <cell r="F37">
            <v>42073</v>
          </cell>
          <cell r="G37" t="str">
            <v>SELİM GÜNDÜZ</v>
          </cell>
          <cell r="H37" t="str">
            <v>ŞADAN YURDAKUL</v>
          </cell>
        </row>
        <row r="38">
          <cell r="C38" t="str">
            <v>Ulus Kepez Antalya</v>
          </cell>
          <cell r="D38" t="str">
            <v>Ulus Mh. Orhan Veli Cd. Taşköprü Apt. No:22 /A Kepez ANTALYA</v>
          </cell>
          <cell r="E38" t="str">
            <v>KEPEZ</v>
          </cell>
          <cell r="F38">
            <v>42090</v>
          </cell>
          <cell r="G38" t="str">
            <v>FİKRET HOCA</v>
          </cell>
          <cell r="H38" t="str">
            <v>ALİ AKÇAY</v>
          </cell>
        </row>
        <row r="39">
          <cell r="C39" t="str">
            <v>Abdi ipekçi cd./Muratpaşa / ANTALYA</v>
          </cell>
          <cell r="D39" t="str">
            <v>Muratpaşa Mah. 565 sokak No:18 25-26-27 Nolu dükkanlar Muratpaşa / ANTALYA</v>
          </cell>
          <cell r="E39" t="str">
            <v>MURATPAŞA</v>
          </cell>
          <cell r="F39">
            <v>42108</v>
          </cell>
          <cell r="G39" t="str">
            <v>ÜMİT KIRBAŞ</v>
          </cell>
          <cell r="H39" t="str">
            <v>ALİ AKÇAY</v>
          </cell>
        </row>
        <row r="40">
          <cell r="C40" t="str">
            <v>Mevlana / ANTALYA</v>
          </cell>
          <cell r="D40" t="str">
            <v>Etiler Mah. Evliya Çelebi Cad. Küçükbarut Apt. No:4/1 Nolu Dükkan Muratpaşa / ANTALYA</v>
          </cell>
          <cell r="E40" t="str">
            <v>MURATPAŞA</v>
          </cell>
          <cell r="F40">
            <v>41363</v>
          </cell>
          <cell r="G40" t="str">
            <v>FATİH SERT</v>
          </cell>
          <cell r="H40" t="str">
            <v>GİZEM TOSUN</v>
          </cell>
        </row>
        <row r="41">
          <cell r="C41" t="str">
            <v>Demirgül Kepez Antalya</v>
          </cell>
          <cell r="D41" t="str">
            <v>Düdenbaşı Mh. 2336 Sk Altınkaya Apt. No:20/A-B  Kepez  ANTALYA</v>
          </cell>
          <cell r="E41" t="str">
            <v>KEPEZ</v>
          </cell>
          <cell r="F41">
            <v>42137</v>
          </cell>
          <cell r="G41" t="str">
            <v>RAMAZAN ÇATALTAŞ</v>
          </cell>
          <cell r="H41" t="str">
            <v>ŞADAN YURDAKUL</v>
          </cell>
        </row>
        <row r="42">
          <cell r="C42" t="str">
            <v>Güvenlik Muratpaşa Antalya</v>
          </cell>
          <cell r="D42" t="str">
            <v>Güvenlik Mh. 261 Sk. 3.Pazarcı Apt. No:3 /A-B Muratpaşa ANTALYA</v>
          </cell>
          <cell r="E42" t="str">
            <v>MURATPAŞA</v>
          </cell>
          <cell r="F42">
            <v>42185</v>
          </cell>
          <cell r="G42" t="str">
            <v>ÖZKAN DEMİR</v>
          </cell>
          <cell r="H42" t="str">
            <v>ALİ AKÇAY</v>
          </cell>
        </row>
        <row r="43">
          <cell r="C43" t="str">
            <v>Yanyol Muratpaşa Antalya</v>
          </cell>
          <cell r="D43" t="str">
            <v>Kızılarık Mahallesi Gazi Bulvarı no:286 A -286 B Muratpaşa Antalya (1917470476-4094201656)</v>
          </cell>
          <cell r="E43" t="str">
            <v>MURATPAŞA</v>
          </cell>
          <cell r="F43">
            <v>43004</v>
          </cell>
          <cell r="G43" t="str">
            <v>FATİH SERT</v>
          </cell>
          <cell r="H43" t="str">
            <v>GİZEM TOSUN</v>
          </cell>
        </row>
        <row r="44">
          <cell r="C44" t="str">
            <v>Zafer Dokuma Kepez Antalya</v>
          </cell>
          <cell r="D44" t="str">
            <v>Zafer Mh. 2612 Sk. No:19 Kepez ANTALYA</v>
          </cell>
          <cell r="E44" t="str">
            <v>KEPEZ</v>
          </cell>
          <cell r="F44">
            <v>42231</v>
          </cell>
          <cell r="G44" t="str">
            <v>FİKRET HOCA</v>
          </cell>
          <cell r="H44" t="str">
            <v>ALİ AKÇAY</v>
          </cell>
        </row>
        <row r="45">
          <cell r="C45" t="str">
            <v>Hüsnü Karakaş Kepez Antalya</v>
          </cell>
          <cell r="D45" t="str">
            <v>Hüsnü Karakaş Mh. Güneş Cd. A1 Apt. No: 128 C  Kepez  ANTALYA</v>
          </cell>
          <cell r="E45" t="str">
            <v>KEPEZ</v>
          </cell>
          <cell r="F45">
            <v>42282</v>
          </cell>
          <cell r="G45" t="str">
            <v>YUNUS BAYSAL</v>
          </cell>
          <cell r="H45" t="str">
            <v>ŞADAN YURDAKUL</v>
          </cell>
        </row>
        <row r="46">
          <cell r="C46" t="str">
            <v>Düden Şelalesi Kepez Antalya</v>
          </cell>
          <cell r="D46" t="str">
            <v>Şelale Mh. 21.Cd. No:26A / 26B Kepez ANTALYA</v>
          </cell>
          <cell r="E46" t="str">
            <v>KEPEZ</v>
          </cell>
          <cell r="F46">
            <v>42287</v>
          </cell>
          <cell r="G46" t="str">
            <v>TUĞBA ALDI</v>
          </cell>
          <cell r="H46" t="str">
            <v>VELİ GÖK</v>
          </cell>
        </row>
        <row r="47">
          <cell r="C47" t="str">
            <v>Altınova  Kepez Antalya</v>
          </cell>
          <cell r="D47" t="str">
            <v>Altınova Orta Mh. Çağan Sk. No: 6B / 1-2-3-4 Kepez ANTALYA</v>
          </cell>
          <cell r="E47" t="str">
            <v>KEPEZ</v>
          </cell>
          <cell r="F47">
            <v>42313</v>
          </cell>
          <cell r="G47" t="str">
            <v>SİNEM ÖZKAYA</v>
          </cell>
          <cell r="H47" t="str">
            <v>ŞADAN YURDAKUL</v>
          </cell>
        </row>
        <row r="48">
          <cell r="C48" t="str">
            <v>Vali Recep Yazıcıoğlu Kepez Antalya</v>
          </cell>
          <cell r="D48" t="str">
            <v>Gazi Mh. Vali Recep Yazıcıoğlu Cd. No: 13 A Kepez ANTALYA</v>
          </cell>
          <cell r="E48" t="str">
            <v>KEPEZ</v>
          </cell>
          <cell r="F48">
            <v>42361</v>
          </cell>
          <cell r="G48" t="str">
            <v>YUNUS BAYSAL</v>
          </cell>
          <cell r="H48" t="str">
            <v>ŞADAN YURDAKUL</v>
          </cell>
        </row>
        <row r="49">
          <cell r="C49" t="str">
            <v>Altındağ Muratpaşa Antalya</v>
          </cell>
          <cell r="D49" t="str">
            <v>Altındağ Mh. 164 Sk. Ceylan Apt. No:4A-4B-6E-6F Muratpaşa ANTALYA</v>
          </cell>
          <cell r="E49" t="str">
            <v>MURATPAŞA</v>
          </cell>
          <cell r="F49">
            <v>42367</v>
          </cell>
          <cell r="G49" t="str">
            <v>ÖZKAN DEMİR</v>
          </cell>
          <cell r="H49" t="str">
            <v>ALİ AKÇAY</v>
          </cell>
        </row>
        <row r="50">
          <cell r="C50" t="str">
            <v>Cahit Sıtkı Muratpaşa Antalya</v>
          </cell>
          <cell r="D50" t="str">
            <v>Yenigün Mah. 1048 Sok. No:28 A Muratpaşa Antalya (5210928676)</v>
          </cell>
          <cell r="E50" t="str">
            <v>MURATPAŞA</v>
          </cell>
          <cell r="F50">
            <v>44308</v>
          </cell>
          <cell r="G50" t="str">
            <v>İSMAİL UĞUR KAYA</v>
          </cell>
          <cell r="H50" t="str">
            <v>GİZEM TOSUN</v>
          </cell>
        </row>
        <row r="51">
          <cell r="C51" t="str">
            <v>Yüksekalan Muratpaşa Antalya</v>
          </cell>
          <cell r="D51" t="str">
            <v>Yüksekalan Mah. 500 Sokak No:10A-10B  Muratpaşa Antalya ( 1329191413 - 3581218371)</v>
          </cell>
          <cell r="E51" t="str">
            <v>MURATPAŞA</v>
          </cell>
          <cell r="F51">
            <v>42412</v>
          </cell>
          <cell r="G51" t="str">
            <v>ÜMİT KAAN ŞAHİN</v>
          </cell>
          <cell r="H51" t="str">
            <v>ŞADAN YURDAKUL</v>
          </cell>
        </row>
        <row r="52">
          <cell r="C52" t="str">
            <v>Fikri Erten Kepez Antalya</v>
          </cell>
          <cell r="D52" t="str">
            <v>Fabrikalar Mh. Fikri Erten cad. No:54A Kepez ANTALYA</v>
          </cell>
          <cell r="E52" t="str">
            <v>KEPEZ</v>
          </cell>
          <cell r="F52">
            <v>42417</v>
          </cell>
          <cell r="G52" t="str">
            <v>KILIÇASLAN İYİCAN</v>
          </cell>
          <cell r="H52" t="str">
            <v>ALİ AKÇAY</v>
          </cell>
        </row>
        <row r="53">
          <cell r="C53" t="str">
            <v>Cuma Pazarı Kepez Antalya</v>
          </cell>
          <cell r="D53" t="str">
            <v>Altınova Orta Mh. Şelale Sk No:185 A Kepez ANTALYA</v>
          </cell>
          <cell r="E53" t="str">
            <v>KEPEZ</v>
          </cell>
          <cell r="F53">
            <v>42426</v>
          </cell>
          <cell r="G53" t="str">
            <v>SİNEM ÖZKAYA</v>
          </cell>
          <cell r="H53" t="str">
            <v>ŞADAN YURDAKUL</v>
          </cell>
        </row>
        <row r="54">
          <cell r="C54" t="str">
            <v>Festival Çarşısı Muratpaşa Antalya</v>
          </cell>
          <cell r="D54" t="str">
            <v>Meydan Kavağı Mahallesi 1595 Sokak no:16 Muratpaşa Antalya   (1089129879)</v>
          </cell>
          <cell r="E54" t="str">
            <v>MURATPAŞA</v>
          </cell>
          <cell r="F54">
            <v>42448</v>
          </cell>
          <cell r="G54" t="str">
            <v>TUĞÇE KOCABAŞ</v>
          </cell>
          <cell r="H54" t="str">
            <v>VELİ GÖK</v>
          </cell>
        </row>
        <row r="55">
          <cell r="C55" t="str">
            <v>Ömer Buyrukçu Cd Kepez Antalya</v>
          </cell>
          <cell r="D55" t="str">
            <v>Güneş Mh. Ömer Buyrukçu Cd. No: 66A-66B-66C Kepez ANTALYA</v>
          </cell>
          <cell r="E55" t="str">
            <v>KEPEZ</v>
          </cell>
          <cell r="F55">
            <v>42504</v>
          </cell>
          <cell r="G55" t="str">
            <v>KERİM YÜREKLİ</v>
          </cell>
          <cell r="H55" t="str">
            <v>VELİ GÖK</v>
          </cell>
        </row>
        <row r="56">
          <cell r="C56" t="str">
            <v>Güzelbağ Muratpaşa Antalya</v>
          </cell>
          <cell r="D56" t="str">
            <v>Güzeloba mah. 2163 Sokak No:10AA -10AB Muratpaşa ANTALYA ( 2573850613 - 1053201701)</v>
          </cell>
          <cell r="E56" t="str">
            <v>MURATPAŞA</v>
          </cell>
          <cell r="F56">
            <v>42514</v>
          </cell>
          <cell r="G56" t="str">
            <v>TUĞÇE KOCABAŞ</v>
          </cell>
          <cell r="H56" t="str">
            <v>VELİ GÖK</v>
          </cell>
        </row>
        <row r="57">
          <cell r="C57" t="str">
            <v>Fener Muratpaşa Antalya</v>
          </cell>
          <cell r="D57" t="str">
            <v>Fener Mahallesi 1979 sokak Koyuncu Apartmanı no: 43B - 43C Muratpaşa Antalya</v>
          </cell>
          <cell r="E57" t="str">
            <v>MURATPAŞA</v>
          </cell>
          <cell r="F57">
            <v>42546</v>
          </cell>
          <cell r="G57" t="str">
            <v>ERDAL ARSLAN</v>
          </cell>
          <cell r="H57" t="str">
            <v>ŞADAN YURDAKUL</v>
          </cell>
        </row>
        <row r="58">
          <cell r="C58" t="str">
            <v>İbni Sina Muratpaşa Antalya</v>
          </cell>
          <cell r="D58" t="str">
            <v>Yenigün Mah. Yunus Emre Cad. No: 47 A Merkez Muratpaşa Antalya (5434758693)</v>
          </cell>
          <cell r="E58" t="str">
            <v>MURATPAŞA</v>
          </cell>
          <cell r="F58">
            <v>44173</v>
          </cell>
          <cell r="G58" t="str">
            <v>İSMAİL UĞUR KAYA</v>
          </cell>
          <cell r="H58" t="str">
            <v>GİZEM TOSUN</v>
          </cell>
        </row>
        <row r="59">
          <cell r="C59" t="str">
            <v>Sinan Mh Kepez Antalya</v>
          </cell>
          <cell r="D59" t="str">
            <v>Altınova Sinan Mh. 24.Sk. No:1 A Kepez ANTALYA</v>
          </cell>
          <cell r="E59" t="str">
            <v>KEPEZ</v>
          </cell>
          <cell r="F59">
            <v>42572</v>
          </cell>
          <cell r="G59" t="str">
            <v>SİNEM ÖZKAYA</v>
          </cell>
          <cell r="H59" t="str">
            <v>ŞADAN YURDAKUL</v>
          </cell>
        </row>
        <row r="60">
          <cell r="C60" t="str">
            <v>Sema Yazar Kepez Antalya</v>
          </cell>
          <cell r="D60" t="str">
            <v>Teomanpaşa Mh.  2216 Sk.  No:1 / 1-2 Kepez ANTALYA</v>
          </cell>
          <cell r="E60" t="str">
            <v>KEPEZ</v>
          </cell>
          <cell r="F60">
            <v>42702</v>
          </cell>
          <cell r="G60" t="str">
            <v>KADİR ÇETİN</v>
          </cell>
          <cell r="H60" t="str">
            <v>VELİ GÖK</v>
          </cell>
        </row>
        <row r="61">
          <cell r="C61" t="str">
            <v>12. Cadde Muratpaşa Antalya</v>
          </cell>
          <cell r="D61" t="str">
            <v>Meydan Kavağı  Mh. Şehitler Cd. Erüst Konutları No: 27A / 11 Muratpaşa ANTALYA (2289749281)</v>
          </cell>
          <cell r="E61" t="str">
            <v>MURATPAŞA</v>
          </cell>
          <cell r="F61">
            <v>42780</v>
          </cell>
          <cell r="G61" t="str">
            <v>ABDULLAH BAY</v>
          </cell>
          <cell r="H61" t="str">
            <v>VELİ GÖK</v>
          </cell>
        </row>
        <row r="62">
          <cell r="C62" t="str">
            <v>Kayıkent Muratpaşa Antalya</v>
          </cell>
          <cell r="D62" t="str">
            <v>Kızıltoprak Mah. 914 sokak No:18 A Muratpaşa / ANTALYA (2978536627)</v>
          </cell>
          <cell r="E62" t="str">
            <v>MURATPAŞA</v>
          </cell>
          <cell r="F62">
            <v>42378</v>
          </cell>
          <cell r="G62" t="str">
            <v>İSMAİL UĞUR KAYA</v>
          </cell>
          <cell r="H62" t="str">
            <v>GİZEM TOSUN</v>
          </cell>
        </row>
        <row r="63">
          <cell r="C63" t="str">
            <v>Soğuksu Muratpaşa Antalya</v>
          </cell>
          <cell r="D63" t="str">
            <v>Soğuksu Mh. Toroslar Cd. No:33A Muratpaşa ANTALYA</v>
          </cell>
          <cell r="E63" t="str">
            <v>MURATPAŞA</v>
          </cell>
          <cell r="F63">
            <v>42796</v>
          </cell>
          <cell r="G63" t="str">
            <v>NESLİHAN ÖZYURT</v>
          </cell>
          <cell r="H63" t="str">
            <v>ALİ AKÇAY</v>
          </cell>
        </row>
        <row r="64">
          <cell r="C64" t="str">
            <v>Meydan Muratpaşa Antalya</v>
          </cell>
          <cell r="D64" t="str">
            <v>Kızıltoprak Mah. 919 Sok. A Blok Apt. No:20 A/A Muratpaşa Antalya (1874573791)</v>
          </cell>
          <cell r="E64" t="str">
            <v>MURATPAŞA</v>
          </cell>
          <cell r="F64">
            <v>43504</v>
          </cell>
          <cell r="G64" t="str">
            <v>İSMAİL UĞUR KAYA</v>
          </cell>
          <cell r="H64" t="str">
            <v>GİZEM TOSUN</v>
          </cell>
        </row>
        <row r="65">
          <cell r="C65" t="str">
            <v>Mithatpaşa Kepez Antalya</v>
          </cell>
          <cell r="D65" t="str">
            <v>Ulus Mh. Mithatpaşa Cd. No: 51/A-B Kepez ANTALYA</v>
          </cell>
          <cell r="E65" t="str">
            <v>KEPEZ</v>
          </cell>
          <cell r="F65">
            <v>42843</v>
          </cell>
          <cell r="G65" t="str">
            <v>FİKRET HOCA</v>
          </cell>
          <cell r="H65" t="str">
            <v>ALİ AKÇAY</v>
          </cell>
        </row>
        <row r="66">
          <cell r="C66" t="str">
            <v>Necip Fazıl Kepez Antalya</v>
          </cell>
          <cell r="D66" t="str">
            <v>Güneş Mh Güneş Cd No: 54 A Kepez ANTALYA</v>
          </cell>
          <cell r="E66" t="str">
            <v>KEPEZ</v>
          </cell>
          <cell r="F66">
            <v>42878</v>
          </cell>
          <cell r="G66" t="str">
            <v>KADİR ÇETİN</v>
          </cell>
          <cell r="H66" t="str">
            <v>VELİ GÖK</v>
          </cell>
        </row>
        <row r="67">
          <cell r="C67" t="str">
            <v>Kaplan Sk. Muratpaşa Antalya</v>
          </cell>
          <cell r="D67" t="str">
            <v>Güzeloba Mah. Havaalanı Cd. A blok  No:61/A Muratpaşa Antalya ( 2764943649 )</v>
          </cell>
          <cell r="E67" t="str">
            <v>MURATPAŞA</v>
          </cell>
          <cell r="F67">
            <v>42880</v>
          </cell>
          <cell r="G67" t="str">
            <v>ÇAĞRI YALÇIN</v>
          </cell>
          <cell r="H67" t="str">
            <v>VELİ GÖK</v>
          </cell>
        </row>
        <row r="68">
          <cell r="C68" t="str">
            <v>Çatalköprü Cd. Muratpaşa Antalya</v>
          </cell>
          <cell r="D68" t="str">
            <v>Muratpaşa Mh. Çatalköprü Cd. Yılmaz Apt. No: 31 A-B Muratpaşa Antalya ( 1785100700 – 1777600956 )</v>
          </cell>
          <cell r="E68" t="str">
            <v>MURATPAŞA</v>
          </cell>
          <cell r="F68">
            <v>42977</v>
          </cell>
          <cell r="G68" t="str">
            <v>ÜMİT KIRBAŞ</v>
          </cell>
          <cell r="H68" t="str">
            <v>ALİ AKÇAY</v>
          </cell>
        </row>
        <row r="69">
          <cell r="C69" t="str">
            <v>Pazaryeri Muratpaşa Antalya</v>
          </cell>
          <cell r="D69" t="str">
            <v>Kızıltoprak Mah. 952 Sok. B Blok Apt. No:15   BA- BB  Muratpaşa Antalya  (2980338186-2729846978 )</v>
          </cell>
          <cell r="E69" t="str">
            <v>MURATPAŞA</v>
          </cell>
          <cell r="F69">
            <v>43147</v>
          </cell>
          <cell r="G69" t="str">
            <v>İSMAİL UĞUR KAYA</v>
          </cell>
          <cell r="H69" t="str">
            <v>GİZEM TOSUN</v>
          </cell>
        </row>
        <row r="70">
          <cell r="C70" t="str">
            <v>Şehit Ercan Cd. Muratpaşa Antalya</v>
          </cell>
          <cell r="D70" t="str">
            <v>Kızıltoprak Mah. Şehit Ercan Cd.  No:50 A- 50 B  Muratpaşa Antalya (1962471486 – 3705713620 )</v>
          </cell>
          <cell r="E70" t="str">
            <v>MURATPAŞA</v>
          </cell>
          <cell r="F70">
            <v>42986</v>
          </cell>
          <cell r="G70" t="str">
            <v>İSMAİL UĞUR KAYA</v>
          </cell>
          <cell r="H70" t="str">
            <v>GİZEM TOSUN</v>
          </cell>
        </row>
        <row r="71">
          <cell r="C71" t="str">
            <v>Yenigün / ANTALYA</v>
          </cell>
          <cell r="D71" t="str">
            <v>Yenigün Mah. Yunus Emre Cad. Yılmaz Apt. Altı No:1/A  Muratpaşa Antalya</v>
          </cell>
          <cell r="E71" t="str">
            <v>MURATPAŞA</v>
          </cell>
          <cell r="F71">
            <v>39580</v>
          </cell>
          <cell r="G71" t="str">
            <v>İSMAİL UĞUR KAYA</v>
          </cell>
          <cell r="H71" t="str">
            <v>GİZEM TOSUN</v>
          </cell>
        </row>
        <row r="72">
          <cell r="C72" t="str">
            <v>Spotçular Çarşısı Muratpaşa Antalya</v>
          </cell>
          <cell r="D72" t="str">
            <v>Deniz Mh. 122.Sokak Halis Yeşilyurt Apt. No: 41 A/A Muratpaşa ANTALYA</v>
          </cell>
          <cell r="E72" t="str">
            <v>MURATPAŞA</v>
          </cell>
          <cell r="F72">
            <v>43008</v>
          </cell>
          <cell r="G72" t="str">
            <v>İBRAHİM DURBALİ</v>
          </cell>
          <cell r="H72" t="str">
            <v>ALİ AKÇAY</v>
          </cell>
        </row>
        <row r="73">
          <cell r="C73" t="str">
            <v>Kamile Çömlekçi Muratpaşa Antalya</v>
          </cell>
          <cell r="D73" t="str">
            <v>Yüksekalan Mah. 485. Sokak No: 16 A Muratpaşa Antalya ( 3504117791 )</v>
          </cell>
          <cell r="E73" t="str">
            <v>MURATPAŞA</v>
          </cell>
          <cell r="F73">
            <v>43036</v>
          </cell>
          <cell r="G73" t="str">
            <v>ÜMİT KAAN ŞAHİN</v>
          </cell>
          <cell r="H73" t="str">
            <v>ŞADAN YURDAKUL</v>
          </cell>
        </row>
        <row r="74">
          <cell r="C74" t="str">
            <v>Örnekköy Muratpaşa Antalya</v>
          </cell>
          <cell r="D74" t="str">
            <v>Güzeloba Mah. 2298 Sokak Elmas Apt. No:12 A Muratpaşa / Antalya ( 1462311257)</v>
          </cell>
          <cell r="E74" t="str">
            <v>MURATPAŞA</v>
          </cell>
          <cell r="F74">
            <v>43081</v>
          </cell>
          <cell r="G74" t="str">
            <v>EMRAH AKINCI</v>
          </cell>
          <cell r="H74" t="str">
            <v>ALİ AKÇAY</v>
          </cell>
        </row>
        <row r="75">
          <cell r="C75" t="str">
            <v>Yunus Emre Cad./Muratpaşa/ANTALYA</v>
          </cell>
          <cell r="D75" t="str">
            <v>Gebizli Mah. Yunus Emre Cad. Yağmur Konutları 2 D Blok No:2 Muratpaşa / ANTALYA</v>
          </cell>
          <cell r="E75" t="str">
            <v>MURATPAŞA</v>
          </cell>
          <cell r="F75">
            <v>41982</v>
          </cell>
          <cell r="G75" t="str">
            <v>İSMAİL UĞUR KAYA</v>
          </cell>
          <cell r="H75" t="str">
            <v>GİZEM TOSUN</v>
          </cell>
        </row>
        <row r="76">
          <cell r="C76" t="str">
            <v>Balbey Muratpaşa Antalya</v>
          </cell>
          <cell r="D76" t="str">
            <v>Balbey mah.405 sokak Mehmet Ali Gönen İş Merkezi no :1 Muratpaşa /Antalya</v>
          </cell>
          <cell r="E76" t="str">
            <v>MURATPAŞA</v>
          </cell>
          <cell r="F76">
            <v>45103</v>
          </cell>
          <cell r="G76" t="str">
            <v>İSMAİL YAZGAN</v>
          </cell>
          <cell r="H76" t="str">
            <v>GİZEM TOSUN</v>
          </cell>
        </row>
        <row r="77">
          <cell r="C77" t="str">
            <v>Rauf Denktaş Muratpaşa Antalya</v>
          </cell>
          <cell r="D77" t="str">
            <v>Güzeloba Mah. Rauf Denktaş Cad. B Blok No:47 F 47 G Muratpaşa Antalya (1855673149-2636849875)</v>
          </cell>
          <cell r="E77" t="str">
            <v>MURATPAŞA</v>
          </cell>
          <cell r="F77">
            <v>43155</v>
          </cell>
          <cell r="G77" t="str">
            <v>ÇAĞRI YALÇIN</v>
          </cell>
          <cell r="H77" t="str">
            <v>VELİ GÖK</v>
          </cell>
        </row>
        <row r="78">
          <cell r="C78" t="str">
            <v>Medstar Muratpaşa Antalya</v>
          </cell>
          <cell r="D78" t="str">
            <v>Yıldız Mh. 219 Sk. Yıldız Yaşam Apt. No:32 A/B Muratpaşa ANTALYA</v>
          </cell>
          <cell r="E78" t="str">
            <v>MURATPAŞA</v>
          </cell>
          <cell r="F78">
            <v>43168</v>
          </cell>
          <cell r="G78" t="str">
            <v>ÖZKAN DEMİR</v>
          </cell>
          <cell r="H78" t="str">
            <v>ALİ AKÇAY</v>
          </cell>
        </row>
        <row r="79">
          <cell r="C79" t="str">
            <v>Hamidiye Muratpaşa Antalya</v>
          </cell>
          <cell r="D79" t="str">
            <v>Yıldız Mh. Çakırlar Cd. No:48 A/B Muratpaşa ANTALYA</v>
          </cell>
          <cell r="E79" t="str">
            <v>MURATPAŞA</v>
          </cell>
          <cell r="F79">
            <v>43186</v>
          </cell>
          <cell r="G79" t="str">
            <v>ÖZKAN DEMİR</v>
          </cell>
          <cell r="H79" t="str">
            <v>ALİ AKÇAY</v>
          </cell>
        </row>
        <row r="80">
          <cell r="C80" t="str">
            <v>Cebesoy / ANTALYA</v>
          </cell>
          <cell r="D80" t="str">
            <v>Sinan Mahallesi. Cebesoy Caddesi.No:62 Antalya</v>
          </cell>
          <cell r="E80" t="str">
            <v>MURATPAŞA</v>
          </cell>
          <cell r="F80">
            <v>39785</v>
          </cell>
          <cell r="G80" t="str">
            <v>İSMAİL YAZGAN</v>
          </cell>
          <cell r="H80" t="str">
            <v>GİZEM TOSUN</v>
          </cell>
        </row>
        <row r="81">
          <cell r="C81" t="str">
            <v>İbrahim Ateş Muratpaşa Antalya</v>
          </cell>
          <cell r="D81" t="str">
            <v>Çağlayan Mah. 2033 Sok. Fidan Apt. No:20 A Muratpaşa Antalya (1605406261)</v>
          </cell>
          <cell r="E81" t="str">
            <v>MURATPAŞA</v>
          </cell>
          <cell r="F81">
            <v>43209</v>
          </cell>
          <cell r="G81" t="str">
            <v>ERDAL ARSLAN</v>
          </cell>
          <cell r="H81" t="str">
            <v>ŞADAN YURDAKUL</v>
          </cell>
        </row>
        <row r="82">
          <cell r="C82" t="str">
            <v>Fetane Muratpaşa Antalya</v>
          </cell>
          <cell r="D82" t="str">
            <v>Çağlayan Mah. 2037 Sok. Yağmur Apt. Sit. No:14 A Muratpaşa Antalya (3093120156)</v>
          </cell>
          <cell r="E82" t="str">
            <v>MURATPAŞA</v>
          </cell>
          <cell r="F82">
            <v>43227</v>
          </cell>
          <cell r="G82" t="str">
            <v>EMRAH AKINCI</v>
          </cell>
          <cell r="H82" t="str">
            <v>ALİ AKÇAY</v>
          </cell>
        </row>
        <row r="83">
          <cell r="C83" t="str">
            <v>Kocatepe Kepez Antalya</v>
          </cell>
          <cell r="D83" t="str">
            <v>Yükseliş Mh. 2118 Sk. No:19A 1/2 Kepez ANTALYA</v>
          </cell>
          <cell r="E83" t="str">
            <v>KEPEZ</v>
          </cell>
          <cell r="F83">
            <v>43229</v>
          </cell>
          <cell r="G83" t="str">
            <v>KILIÇASLAN İYİCAN</v>
          </cell>
          <cell r="H83" t="str">
            <v>ALİ AKÇAY</v>
          </cell>
        </row>
        <row r="84">
          <cell r="C84" t="str">
            <v>Şarampol Muratpaşa Antalya</v>
          </cell>
          <cell r="D84" t="str">
            <v>Üçgen Mah. Tonguç Cad. Çakmak Apt. Sit. No: 59 A - 59 B - 59 C / Muratpaşa Antalya</v>
          </cell>
          <cell r="E84" t="str">
            <v>MURATPAŞA</v>
          </cell>
          <cell r="F84">
            <v>43245</v>
          </cell>
          <cell r="G84" t="str">
            <v>NESLİHAN ÖZYURT</v>
          </cell>
          <cell r="H84" t="str">
            <v>ALİ AKÇAY</v>
          </cell>
        </row>
        <row r="85">
          <cell r="C85" t="str">
            <v>Yeşiltepe Kepez Antalya</v>
          </cell>
          <cell r="D85" t="str">
            <v>Yeşiltepe Mh. Ziya Gökalp Cd. No:17 A-B Kepez ANTALYA</v>
          </cell>
          <cell r="E85" t="str">
            <v>KEPEZ</v>
          </cell>
          <cell r="F85">
            <v>43285</v>
          </cell>
          <cell r="G85" t="str">
            <v>KILIÇASLAN İYİCAN</v>
          </cell>
          <cell r="H85" t="str">
            <v>ALİ AKÇAY</v>
          </cell>
        </row>
        <row r="86">
          <cell r="C86" t="str">
            <v>Şehit Oğuz Muratpaşa Antalya</v>
          </cell>
          <cell r="D86" t="str">
            <v>Meydan Kavağı Mah. 1561 Sok. No:25 A/A 25 A/B Numaralı Dükkanlar Muratpaşa Antalya</v>
          </cell>
          <cell r="E86" t="str">
            <v>MURATPAŞA</v>
          </cell>
          <cell r="F86">
            <v>43300</v>
          </cell>
          <cell r="G86" t="str">
            <v>ABDULLAH BAY</v>
          </cell>
          <cell r="H86" t="str">
            <v>VELİ GÖK</v>
          </cell>
        </row>
        <row r="87">
          <cell r="C87" t="str">
            <v>15 Temmuz Kepez Antalya</v>
          </cell>
          <cell r="D87" t="str">
            <v>Düdenbaşı Mh. 15 Temmuz Şehitler Cd. No:18/ A-B Kepez ANTALYA</v>
          </cell>
          <cell r="E87" t="str">
            <v>KEPEZ</v>
          </cell>
          <cell r="F87">
            <v>43319</v>
          </cell>
          <cell r="G87" t="str">
            <v>KADİR ÇETİN</v>
          </cell>
          <cell r="H87" t="str">
            <v>VELİ GÖK</v>
          </cell>
        </row>
        <row r="88">
          <cell r="C88" t="str">
            <v>İsmetpaşa Caddesi Muratpaşa</v>
          </cell>
          <cell r="D88" t="str">
            <v>Tahılpazarı mah.İsmetpaşa caddesi. Mehmet Cadıl İş merkezi No:33/A-33/B Muratpaşa/Antalya</v>
          </cell>
          <cell r="E88" t="str">
            <v>MURATPAŞA</v>
          </cell>
          <cell r="F88">
            <v>45351</v>
          </cell>
          <cell r="G88" t="str">
            <v>İSMAİL YAZGAN</v>
          </cell>
          <cell r="H88" t="str">
            <v>GİZEM TOSUN</v>
          </cell>
        </row>
        <row r="89">
          <cell r="C89" t="str">
            <v>Kaleiçi Muratpaşa Antalya</v>
          </cell>
          <cell r="D89" t="str">
            <v>Tuzcular Mah. Mescit Sok. No:16 A Muratpaşa Antalya (1519909673)</v>
          </cell>
          <cell r="E89" t="str">
            <v>MURATPAŞA</v>
          </cell>
          <cell r="F89">
            <v>43657</v>
          </cell>
          <cell r="G89" t="str">
            <v>İSMAİL YAZGAN</v>
          </cell>
          <cell r="H89" t="str">
            <v>GİZEM TOSUN</v>
          </cell>
        </row>
        <row r="90">
          <cell r="C90" t="str">
            <v>Kızılırmak Muratpaşa Antalya</v>
          </cell>
          <cell r="D90" t="str">
            <v>Yenigün Mah. Kızılırmak Cad. Kızılırmak Apt. Sit. No:34/A 34/B Muratpaşa Antalya</v>
          </cell>
          <cell r="E90" t="str">
            <v>MURATPAŞA</v>
          </cell>
          <cell r="F90">
            <v>43735</v>
          </cell>
          <cell r="G90" t="str">
            <v>İSMAİL YAZGAN</v>
          </cell>
          <cell r="H90" t="str">
            <v>GİZEM TOSUN</v>
          </cell>
        </row>
        <row r="91">
          <cell r="C91" t="str">
            <v>Rasih Kaplan Cd Kepez Antalya</v>
          </cell>
          <cell r="D91" t="str">
            <v>Ulus Mh. Rasih Kaplan Cd. No:33 A-B Kepez ANTALYA</v>
          </cell>
          <cell r="E91" t="str">
            <v>KEPEZ</v>
          </cell>
          <cell r="F91">
            <v>43424</v>
          </cell>
          <cell r="G91" t="str">
            <v>FİKRET HOCA</v>
          </cell>
          <cell r="H91" t="str">
            <v>ALİ AKÇAY</v>
          </cell>
        </row>
        <row r="92">
          <cell r="C92" t="str">
            <v>Haseki Kepez Antalya</v>
          </cell>
          <cell r="D92" t="str">
            <v>Güneş Mh. Necip Fazıl Kısakürek Cd. Ulutaş Apt. No: 127/A-B Kepez ANTALYA</v>
          </cell>
          <cell r="E92" t="str">
            <v>KEPEZ</v>
          </cell>
          <cell r="F92">
            <v>43455</v>
          </cell>
          <cell r="G92" t="str">
            <v>SALİH SERKAN ERÇİN</v>
          </cell>
          <cell r="H92" t="str">
            <v>VELİ GÖK</v>
          </cell>
        </row>
        <row r="93">
          <cell r="C93" t="str">
            <v>Servet Muratpaşa Antalya</v>
          </cell>
          <cell r="D93" t="str">
            <v>Yenigün Mah. Kızılırmak Cd. Hacıoğulları Apt. Sit No: 18 A / Muratpaşa / Antalya (2958138790)</v>
          </cell>
          <cell r="E93" t="str">
            <v>MURATPAŞA</v>
          </cell>
          <cell r="F93">
            <v>44362</v>
          </cell>
          <cell r="G93" t="str">
            <v>İSMAİL YAZGAN</v>
          </cell>
          <cell r="H93" t="str">
            <v>GİZEM TOSUN</v>
          </cell>
        </row>
        <row r="94">
          <cell r="C94" t="str">
            <v>Sedir Muratpaşa Antalya</v>
          </cell>
          <cell r="D94" t="str">
            <v>Sedir Mah. Zambak Cad. No:44/A - 44/B Muratpaşa Antalya (3526620269) (3534119023)</v>
          </cell>
          <cell r="E94" t="str">
            <v>MURATPAŞA</v>
          </cell>
          <cell r="F94">
            <v>43479</v>
          </cell>
          <cell r="G94" t="str">
            <v>KILIÇASLAN İYİCAN</v>
          </cell>
          <cell r="H94" t="str">
            <v>ALİ AKÇAY</v>
          </cell>
        </row>
        <row r="95">
          <cell r="C95" t="str">
            <v>Memurevleri Muratpaşa Antalya</v>
          </cell>
          <cell r="D95" t="str">
            <v>Memurevleri Mh. Derya Cd. Çelik Apt. No:5 Muratpaşa Antalya</v>
          </cell>
          <cell r="E95" t="str">
            <v>MURATPAŞA</v>
          </cell>
          <cell r="F95">
            <v>43500</v>
          </cell>
          <cell r="G95" t="str">
            <v>ÖZKAN DEMİR</v>
          </cell>
          <cell r="H95" t="str">
            <v>ALİ AKÇAY</v>
          </cell>
        </row>
        <row r="96">
          <cell r="C96" t="str">
            <v>Yenikapı Muratpaşa Antalya</v>
          </cell>
          <cell r="D96" t="str">
            <v>Zerdalilik Mah. Cebesoy Cad. No:79 A Muratpaşa Antalya (5380570597)</v>
          </cell>
          <cell r="E96" t="str">
            <v>MURATPAŞA</v>
          </cell>
          <cell r="F96">
            <v>44800</v>
          </cell>
          <cell r="G96" t="str">
            <v>İSMAİL YAZGAN</v>
          </cell>
          <cell r="H96" t="str">
            <v>GİZEM TOSUN</v>
          </cell>
        </row>
        <row r="97">
          <cell r="C97" t="str">
            <v>PTT Muratpaşa Antalya</v>
          </cell>
          <cell r="D97" t="str">
            <v>Fener Mah. 1989 Sok. ABS apt. Sit. No:6/A 6/B Muratpaşa Antalya (1372014173) (1382213831)</v>
          </cell>
          <cell r="E97" t="str">
            <v>MURATPAŞA</v>
          </cell>
          <cell r="F97">
            <v>43515</v>
          </cell>
          <cell r="G97" t="str">
            <v>ERDAL ARSLAN</v>
          </cell>
          <cell r="H97" t="str">
            <v>ŞADAN YURDAKUL</v>
          </cell>
        </row>
        <row r="98">
          <cell r="C98" t="str">
            <v>Sosyal Bilimler Muratpaşa Antalya</v>
          </cell>
          <cell r="D98" t="str">
            <v>Güvenlik Mh. 281 Sk. No: 21 / B-C Muratpaşa Antalya</v>
          </cell>
          <cell r="E98" t="str">
            <v>MURATPAŞA</v>
          </cell>
          <cell r="F98">
            <v>43515</v>
          </cell>
          <cell r="G98" t="str">
            <v>KILIÇASLAN İYİCAN</v>
          </cell>
          <cell r="H98" t="str">
            <v>ALİ AKÇAY</v>
          </cell>
        </row>
        <row r="99">
          <cell r="C99" t="str">
            <v>Belediye Muratpaşa Antalya</v>
          </cell>
          <cell r="D99" t="str">
            <v>Çağlayan Mah. Barınaklar Bul. Atmaca Sitesi Sit. A Blok Apt. No: 1A 1B 1C 1D Muratpaşa / Antalya</v>
          </cell>
          <cell r="E99" t="str">
            <v>MURATPAŞA</v>
          </cell>
          <cell r="F99">
            <v>43522</v>
          </cell>
          <cell r="G99" t="str">
            <v>ERDAL ARSLAN</v>
          </cell>
          <cell r="H99" t="str">
            <v>ŞADAN YURDAKUL</v>
          </cell>
        </row>
        <row r="100">
          <cell r="C100" t="str">
            <v>Zerdalilik / Muratpaşa / ANTALYA</v>
          </cell>
          <cell r="D100" t="str">
            <v>Zerdalilik Mah.1385 Sok.Neşe Apt.No:10 / A-B-C nolu Dükkanlar Muratpaşa/ANTALYA</v>
          </cell>
          <cell r="E100" t="str">
            <v>MURATPAŞA</v>
          </cell>
          <cell r="F100">
            <v>42115</v>
          </cell>
          <cell r="G100" t="str">
            <v>İSMAİL YAZGAN</v>
          </cell>
          <cell r="H100" t="str">
            <v>GİZEM TOSUN</v>
          </cell>
        </row>
        <row r="101">
          <cell r="C101" t="str">
            <v>Nazım Hikmet Muratpaşa Antalya</v>
          </cell>
          <cell r="D101" t="str">
            <v>Güzeloba Mah. Rauf Denktaş Cad. Antik Residence Sitesi Sit. A Blok Apt. No:28 A Muratpaşa Antalya</v>
          </cell>
          <cell r="E101" t="str">
            <v>MURATPAŞA</v>
          </cell>
          <cell r="F101">
            <v>43523</v>
          </cell>
          <cell r="G101" t="str">
            <v>ÇAĞRI YALÇIN</v>
          </cell>
          <cell r="H101" t="str">
            <v>VELİ GÖK</v>
          </cell>
        </row>
        <row r="102">
          <cell r="C102" t="str">
            <v>Lara Cad. Muratpaşa Antalya</v>
          </cell>
          <cell r="D102" t="str">
            <v>Güzeloba Mah. Lara Cad. Salih Genç Apt. Sit. No: 180/A 180/B 180/C Muratpaşa Antalya</v>
          </cell>
          <cell r="E102" t="str">
            <v>MURATPAŞA</v>
          </cell>
          <cell r="F102">
            <v>43547</v>
          </cell>
          <cell r="G102" t="str">
            <v>EMRAH AKINCI</v>
          </cell>
          <cell r="H102" t="str">
            <v>ALİ AKÇAY</v>
          </cell>
        </row>
        <row r="103">
          <cell r="C103" t="str">
            <v>Çarşamba Pazarı Kepez Antalya</v>
          </cell>
          <cell r="D103" t="str">
            <v>Düdenbaşı Mh. Ömer Buyrukçu Cd. No:23/A Kepez Antalya</v>
          </cell>
          <cell r="E103" t="str">
            <v>KEPEZ</v>
          </cell>
          <cell r="F103">
            <v>43549</v>
          </cell>
          <cell r="G103" t="str">
            <v>SİNEM ÖZKAYA</v>
          </cell>
          <cell r="H103" t="str">
            <v>ŞADAN YURDAKUL</v>
          </cell>
        </row>
        <row r="104">
          <cell r="C104" t="str">
            <v>Ermenek Muratpaşa Antalya</v>
          </cell>
          <cell r="D104" t="str">
            <v>Ermenek Mah. Şehit Ali Daniyar Cad. No: 48/1 Muratpaşa Antalya (5193183182)</v>
          </cell>
          <cell r="E104" t="str">
            <v>MURATPAŞA</v>
          </cell>
          <cell r="F104">
            <v>43571</v>
          </cell>
          <cell r="G104" t="str">
            <v>ÇAĞRI YALÇIN</v>
          </cell>
          <cell r="H104" t="str">
            <v>VELİ GÖK</v>
          </cell>
        </row>
        <row r="105">
          <cell r="C105" t="str">
            <v>Kemerağzı Muratpaşa Antalya</v>
          </cell>
          <cell r="D105" t="str">
            <v>Güzeloba Mah. 2370 Sok. No:42 / A Muratpaşa Antalya (5292782025)</v>
          </cell>
          <cell r="E105" t="str">
            <v>MURATPAŞA</v>
          </cell>
          <cell r="F105">
            <v>43589</v>
          </cell>
          <cell r="G105" t="str">
            <v>EMRAH AKINCI</v>
          </cell>
          <cell r="H105" t="str">
            <v>ALİ AKÇAY</v>
          </cell>
        </row>
        <row r="106">
          <cell r="C106" t="str">
            <v>Kırçiçeği Kepez Antalya</v>
          </cell>
          <cell r="D106" t="str">
            <v>Baraj Mh. Kırçiçeği Cd. No:40/B A Blok Kepez Antalya</v>
          </cell>
          <cell r="E106" t="str">
            <v>KEPEZ</v>
          </cell>
          <cell r="F106">
            <v>43616</v>
          </cell>
          <cell r="G106" t="str">
            <v>RAMAZAN ÇATALTAŞ</v>
          </cell>
          <cell r="H106" t="str">
            <v>ŞADAN YURDAKUL</v>
          </cell>
        </row>
        <row r="107">
          <cell r="C107" t="str">
            <v>Aydınlıkevler Muratpaşa Antalya</v>
          </cell>
          <cell r="D107" t="str">
            <v>Konuksever Mah. 821 Sok. No:45 A Merkez Muratpaşa Antalya (5320712432)</v>
          </cell>
          <cell r="E107" t="str">
            <v>MURATPAŞA</v>
          </cell>
          <cell r="F107">
            <v>44041</v>
          </cell>
          <cell r="G107" t="str">
            <v>İSMET YILMAZ</v>
          </cell>
          <cell r="H107" t="str">
            <v>GİZEM TOSUN</v>
          </cell>
        </row>
        <row r="108">
          <cell r="C108" t="str">
            <v>Eroğlu Muratpaşa Antalya</v>
          </cell>
          <cell r="D108" t="str">
            <v>Konuksever Mah 808/1 Sok. Eroğlu Apt. Sit. No:8A-B-C/ Muratpaşa Antalya</v>
          </cell>
          <cell r="E108" t="str">
            <v>MURATPAŞA</v>
          </cell>
          <cell r="F108">
            <v>43465</v>
          </cell>
          <cell r="G108" t="str">
            <v>İSMET YILMAZ</v>
          </cell>
          <cell r="H108" t="str">
            <v>GİZEM TOSUN</v>
          </cell>
        </row>
        <row r="109">
          <cell r="C109" t="str">
            <v>Etiler / ANTALYA</v>
          </cell>
          <cell r="D109" t="str">
            <v>Etiler Mah.Karacaoğlan Cad.Gökşen Apt.No:60/1 Antalya</v>
          </cell>
          <cell r="E109" t="str">
            <v>MURATPAŞA</v>
          </cell>
          <cell r="F109">
            <v>39685</v>
          </cell>
          <cell r="G109" t="str">
            <v>İSMET YILMAZ</v>
          </cell>
          <cell r="H109" t="str">
            <v>GİZEM TOSUN</v>
          </cell>
        </row>
        <row r="110">
          <cell r="C110" t="str">
            <v>İstiklal İlköğretim Muratpaşa Antalya</v>
          </cell>
          <cell r="D110" t="str">
            <v>Zerdalilik Mah.1380 Sok. Halide Gököz Apt. Sit. No:4/A Muratpaşa Antalya (1512410067)</v>
          </cell>
          <cell r="E110" t="str">
            <v>MURATPAŞA</v>
          </cell>
          <cell r="F110">
            <v>43790</v>
          </cell>
          <cell r="G110" t="str">
            <v>ÜMİT KAAN ŞAHİN</v>
          </cell>
          <cell r="H110" t="str">
            <v>ŞADAN YURDAKUL</v>
          </cell>
        </row>
        <row r="111">
          <cell r="C111" t="str">
            <v>Şehitler Muratpaşa Antalya</v>
          </cell>
          <cell r="D111" t="str">
            <v>Meydankavağı Mah. Şehitler Cad. No:14 A / Muratpaşa Antalya (5211824528)</v>
          </cell>
          <cell r="E111" t="str">
            <v>MURATPAŞA</v>
          </cell>
          <cell r="F111">
            <v>43795</v>
          </cell>
          <cell r="G111" t="str">
            <v>ABDULLAH BAY</v>
          </cell>
          <cell r="H111" t="str">
            <v>VELİ GÖK</v>
          </cell>
        </row>
        <row r="112">
          <cell r="C112" t="str">
            <v>Esma Sultan Kepez Antalya</v>
          </cell>
          <cell r="D112" t="str">
            <v>Güneş Mh. 15 Temmuz Şehitler Cd. No:103/C Kepez Antalya</v>
          </cell>
          <cell r="E112" t="str">
            <v>KEPEZ</v>
          </cell>
          <cell r="F112">
            <v>43805</v>
          </cell>
          <cell r="G112" t="str">
            <v>KERİM YÜREKLİ</v>
          </cell>
          <cell r="H112" t="str">
            <v>VELİ GÖK</v>
          </cell>
        </row>
        <row r="113">
          <cell r="C113" t="str">
            <v>Osman Yüksel Kepez Antalya</v>
          </cell>
          <cell r="D113" t="str">
            <v>Teomanpaşa Mh. 2270 Sk. Öztürk Apt. No:29-A/B Kepez Antalya</v>
          </cell>
          <cell r="E113" t="str">
            <v>KEPEZ</v>
          </cell>
          <cell r="F113">
            <v>43822</v>
          </cell>
          <cell r="G113" t="str">
            <v>KERİM YÜREKLİ</v>
          </cell>
          <cell r="H113" t="str">
            <v>VELİ GÖK</v>
          </cell>
        </row>
        <row r="114">
          <cell r="C114" t="str">
            <v>Selekler Muratpaşa Antalya</v>
          </cell>
          <cell r="D114" t="str">
            <v>Deniz Mh. Konyaaltı Cd. Arat Apt. No:13 Muratpaşa Antalya</v>
          </cell>
          <cell r="E114" t="str">
            <v>MURATPAŞA</v>
          </cell>
          <cell r="F114">
            <v>43823</v>
          </cell>
          <cell r="G114" t="str">
            <v>İBRAHİM DURBALİ</v>
          </cell>
          <cell r="H114" t="str">
            <v>ALİ AKÇAY</v>
          </cell>
        </row>
        <row r="115">
          <cell r="C115" t="str">
            <v>Güzeloluk Muratpaşa Antalya</v>
          </cell>
          <cell r="D115" t="str">
            <v>Güzeloluk Mah. 1830 Sok. Konut 2 Katlı Sit. No: 87 A Muratpaşa Antalya (1020725998)</v>
          </cell>
          <cell r="E115" t="str">
            <v>MURATPAŞA</v>
          </cell>
          <cell r="F115">
            <v>43826</v>
          </cell>
          <cell r="G115" t="str">
            <v>ABDULLAH BAY</v>
          </cell>
          <cell r="H115" t="str">
            <v>VELİ GÖK</v>
          </cell>
        </row>
        <row r="116">
          <cell r="C116" t="str">
            <v>Bülent Ecevit Muratpaşa Antalya</v>
          </cell>
          <cell r="D116" t="str">
            <v>Fener Mah. Bülent Ecevit Bul. Yanık Apt. No:16/A 16/B Muratpaşa Antalya (1716702699) (1738601960)</v>
          </cell>
          <cell r="E116" t="str">
            <v>MURATPAŞA</v>
          </cell>
          <cell r="F116">
            <v>43854</v>
          </cell>
          <cell r="G116" t="str">
            <v>ÜMİT KAAN ŞAHİN</v>
          </cell>
          <cell r="H116" t="str">
            <v>ŞADAN YURDAKUL</v>
          </cell>
        </row>
        <row r="117">
          <cell r="C117" t="str">
            <v>Çınarlı Cad. Muratpaşa Antalya</v>
          </cell>
          <cell r="D117" t="str">
            <v>Yeşilbahçe Mah. Çınarlı Cad. 5. Eyiler Apt. No:9/A 9/B Muratpaşa Antalya (1062424989) (5033431361)</v>
          </cell>
          <cell r="E117" t="str">
            <v>MURATPAŞA</v>
          </cell>
          <cell r="F117">
            <v>43854</v>
          </cell>
          <cell r="G117" t="str">
            <v>TUĞÇE KOCABAŞ</v>
          </cell>
          <cell r="H117" t="str">
            <v>VELİ GÖK</v>
          </cell>
        </row>
        <row r="118">
          <cell r="C118" t="str">
            <v>Osman Gazi Muratpaşa Antalya</v>
          </cell>
          <cell r="D118" t="str">
            <v>Soğuksu Mh. Toroslar Cd. Office 12 İş Merkezi No:62/A Muratpaşa Antalya</v>
          </cell>
          <cell r="E118" t="str">
            <v>MURATPAŞA</v>
          </cell>
          <cell r="F118">
            <v>43858</v>
          </cell>
          <cell r="G118" t="str">
            <v>FİKRET HOCA</v>
          </cell>
          <cell r="H118" t="str">
            <v>ALİ AKÇAY</v>
          </cell>
        </row>
        <row r="119">
          <cell r="C119" t="str">
            <v>Düden Park Muratpaşa Antalya</v>
          </cell>
          <cell r="D119" t="str">
            <v>Çağlayan Mah. 2051 Sok. No:49/A Muratpaşa Antalya (2900840618)</v>
          </cell>
          <cell r="E119" t="str">
            <v>MURATPAŞA</v>
          </cell>
          <cell r="F119">
            <v>43861</v>
          </cell>
          <cell r="G119" t="str">
            <v>ÜMİT KAAN ŞAHİN</v>
          </cell>
          <cell r="H119" t="str">
            <v>ŞADAN YURDAKUL</v>
          </cell>
        </row>
        <row r="120">
          <cell r="C120" t="str">
            <v>Antalya Caddesi Kepez Antalya</v>
          </cell>
          <cell r="D120" t="str">
            <v>Altınova Orta Mh. Antalya Caddesi No:202/A-B Kepez Antalya</v>
          </cell>
          <cell r="E120" t="str">
            <v>KEPEZ</v>
          </cell>
          <cell r="F120">
            <v>43868</v>
          </cell>
          <cell r="G120" t="str">
            <v>RAMAZAN ÇATALTAŞ</v>
          </cell>
          <cell r="H120" t="str">
            <v>ŞADAN YURDAKUL</v>
          </cell>
        </row>
        <row r="121">
          <cell r="C121" t="str">
            <v>Eski Lara Cad Muratpaşa Antalya</v>
          </cell>
          <cell r="D121" t="str">
            <v>Eski Lara Cad Muratpaşa Antalya 2/10 1961. SokakN:1</v>
          </cell>
          <cell r="E121" t="str">
            <v>MURATPAŞA</v>
          </cell>
          <cell r="F121">
            <v>43883</v>
          </cell>
          <cell r="G121" t="str">
            <v>ÜMİT KAAN ŞAHİN</v>
          </cell>
          <cell r="H121" t="str">
            <v>ŞADAN YURDAKUL</v>
          </cell>
        </row>
        <row r="122">
          <cell r="C122" t="str">
            <v>Molla Gürani Kepez Antalya</v>
          </cell>
          <cell r="D122" t="str">
            <v>Gazi Mh. 6560 Sk. No:5/C-D Kepez Antalya</v>
          </cell>
          <cell r="E122" t="str">
            <v>KEPEZ</v>
          </cell>
          <cell r="F122">
            <v>43889</v>
          </cell>
          <cell r="G122" t="str">
            <v>YUNUS BAYSAL</v>
          </cell>
          <cell r="H122" t="str">
            <v>ŞADAN YURDAKUL</v>
          </cell>
        </row>
        <row r="123">
          <cell r="C123" t="str">
            <v>Suphi Türel Kepez Antalya</v>
          </cell>
          <cell r="D123" t="str">
            <v>Göksu Mh. Suphi Türel Cd. No:28/BC Kepez Antalya</v>
          </cell>
          <cell r="E123" t="str">
            <v>KEPEZ</v>
          </cell>
          <cell r="F123">
            <v>43889</v>
          </cell>
          <cell r="G123" t="str">
            <v>SİNEM ÖZKAYA</v>
          </cell>
          <cell r="H123" t="str">
            <v>ŞADAN YURDAKUL</v>
          </cell>
        </row>
        <row r="124">
          <cell r="C124" t="str">
            <v>Turgut Özal Cd. Kepez Antalya</v>
          </cell>
          <cell r="D124" t="str">
            <v>Baraj Mh. Turgut Özal Cd. No:192/D Kepez Antalya</v>
          </cell>
          <cell r="E124" t="str">
            <v>KEPEZ</v>
          </cell>
          <cell r="F124">
            <v>43964</v>
          </cell>
          <cell r="G124" t="str">
            <v>RAMAZAN ÇATALTAŞ</v>
          </cell>
          <cell r="H124" t="str">
            <v>ŞADAN YURDAKUL</v>
          </cell>
        </row>
        <row r="125">
          <cell r="C125" t="str">
            <v>Sosyal Güvenlik Muratpaşa Antalya</v>
          </cell>
          <cell r="D125" t="str">
            <v>Üçgen Mah. Şarampol Cad. No:192 A Merkez Murtapaşa Antalya (1310293368)</v>
          </cell>
          <cell r="E125" t="str">
            <v>MURATPAŞA</v>
          </cell>
          <cell r="F125">
            <v>44008</v>
          </cell>
          <cell r="G125" t="str">
            <v>NESLİHAN ÖZYURT</v>
          </cell>
          <cell r="H125" t="str">
            <v>ALİ AKÇAY</v>
          </cell>
        </row>
        <row r="126">
          <cell r="C126" t="str">
            <v>Kültür Merkezi Muratpaşa Antalya</v>
          </cell>
          <cell r="D126" t="str">
            <v>Çaybaşı Mah. Ali Çetinkaya Cad. 2. Oba Apt. Sit. No: 54 A-D-E-F Merkez Muratpaşa Antalya</v>
          </cell>
          <cell r="E126" t="str">
            <v>MURATPAŞA</v>
          </cell>
          <cell r="F126">
            <v>44034</v>
          </cell>
          <cell r="G126" t="str">
            <v>ÜMİT KAAN ŞAHİN</v>
          </cell>
          <cell r="H126" t="str">
            <v>ŞADAN YURDAKUL</v>
          </cell>
        </row>
        <row r="127">
          <cell r="C127" t="str">
            <v>Evliya Çelebi Muratpaşa Antalya</v>
          </cell>
          <cell r="D127" t="str">
            <v>Etiler Mah. 882 Sok. Mollaoğlu Apt. No:28 / A Muratpaşa Antalya (1465973673)</v>
          </cell>
          <cell r="E127" t="str">
            <v>MURATPAŞA</v>
          </cell>
          <cell r="F127">
            <v>43332</v>
          </cell>
          <cell r="G127" t="str">
            <v>İSMET YILMAZ</v>
          </cell>
          <cell r="H127" t="str">
            <v>GİZEM TOSUN</v>
          </cell>
        </row>
        <row r="128">
          <cell r="C128" t="str">
            <v>Stadyum Muratpaşa Antalya</v>
          </cell>
          <cell r="D128" t="str">
            <v>Meydankavağı Mah. 1550 Sk. No:39 A-B Merkez Muratpaşa Antalya (5284779948)(5056824963)</v>
          </cell>
          <cell r="E128" t="str">
            <v>MURATPAŞA</v>
          </cell>
          <cell r="F128">
            <v>44062</v>
          </cell>
          <cell r="G128" t="str">
            <v>ABDULLAH BAY</v>
          </cell>
          <cell r="H128" t="str">
            <v>VELİ GÖK</v>
          </cell>
        </row>
        <row r="129">
          <cell r="C129" t="str">
            <v>Varsak Bey Cd. Kepez Antalya</v>
          </cell>
          <cell r="D129" t="str">
            <v>Şelale Mh. Varsak Bey Cd. No:80/A Kepez Antalya</v>
          </cell>
          <cell r="E129" t="str">
            <v>KEPEZ</v>
          </cell>
          <cell r="F129">
            <v>44064</v>
          </cell>
          <cell r="G129" t="str">
            <v>TUĞBA ALDI</v>
          </cell>
          <cell r="H129" t="str">
            <v>VELİ GÖK</v>
          </cell>
        </row>
        <row r="130">
          <cell r="C130" t="str">
            <v>Kümeevleri Muratpaşa Antalya</v>
          </cell>
          <cell r="D130" t="str">
            <v>Dutlubahçe Mah. 751 Sok. Özdemir Apt. Sit. No: 15 A Muratpaşa Antalya (1079223861)</v>
          </cell>
          <cell r="E130" t="str">
            <v>MURATPAŞA</v>
          </cell>
          <cell r="F130">
            <v>44084</v>
          </cell>
          <cell r="G130" t="str">
            <v>NESLİHAN ÖZYURT</v>
          </cell>
          <cell r="H130" t="str">
            <v>ALİ AKÇAY</v>
          </cell>
        </row>
        <row r="131">
          <cell r="C131" t="str">
            <v>Yaşam Muratpaşa Antalya</v>
          </cell>
          <cell r="D131" t="str">
            <v>Cumhuriyet Mah. 650 Sk. Safalar 2 Apt. Sit. No:10 A Muratpaşa Antalya (2525541252)</v>
          </cell>
          <cell r="E131" t="str">
            <v>MURATPAŞA</v>
          </cell>
          <cell r="F131">
            <v>44089</v>
          </cell>
          <cell r="G131" t="str">
            <v>NESLİHAN ÖZYURT</v>
          </cell>
          <cell r="H131" t="str">
            <v>ALİ AKÇAY</v>
          </cell>
        </row>
        <row r="132">
          <cell r="C132" t="str">
            <v>İsmet Gökşen Muratpaşa Antalya</v>
          </cell>
          <cell r="D132" t="str">
            <v>Şirinyalı Mah. İsmet Gökşen Cad. Serpil Apt. Sit. No: 109 A Muratpaşa Antalya (1127222717)</v>
          </cell>
          <cell r="E132" t="str">
            <v>MURATPAŞA</v>
          </cell>
          <cell r="F132">
            <v>44100</v>
          </cell>
          <cell r="G132" t="str">
            <v>ERDAL ARSLAN</v>
          </cell>
          <cell r="H132" t="str">
            <v>ŞADAN YURDAKUL</v>
          </cell>
        </row>
        <row r="133">
          <cell r="C133" t="str">
            <v>Köşk Muratpaşa Antalya</v>
          </cell>
          <cell r="D133" t="str">
            <v>Şirinyalı Mah. 1486 Sok. Hamurcu Apt Sit. No: 17 A Merkez Muratpaşa Antalya (1491410591)</v>
          </cell>
          <cell r="E133" t="str">
            <v>MURATPAŞA</v>
          </cell>
          <cell r="F133">
            <v>44162</v>
          </cell>
          <cell r="G133" t="str">
            <v>TUĞÇE KOCABAŞ</v>
          </cell>
          <cell r="H133" t="str">
            <v>VELİ GÖK</v>
          </cell>
        </row>
        <row r="134">
          <cell r="C134" t="str">
            <v>Gazi Bulvarı / ANTALYA</v>
          </cell>
          <cell r="D134" t="str">
            <v>Dutlubahçe Mah. 760.Sok. No: 37/1 Zemin Depo Muratpaşa / ANTALYA</v>
          </cell>
          <cell r="E134" t="str">
            <v>MURATPAŞA</v>
          </cell>
          <cell r="F134">
            <v>41363</v>
          </cell>
          <cell r="G134" t="str">
            <v>İSMET YILMAZ</v>
          </cell>
          <cell r="H134" t="str">
            <v>GİZEM TOSUN</v>
          </cell>
        </row>
        <row r="135">
          <cell r="C135" t="str">
            <v>Mimar Sinan Muratpaşa Antalya</v>
          </cell>
          <cell r="D135" t="str">
            <v>Yıldız Mh. Mimar Sinan Cd. Çetin Apartmanı No: 37 A-B Muratpaşa Antalya</v>
          </cell>
          <cell r="E135" t="str">
            <v>MURATPAŞA</v>
          </cell>
          <cell r="F135">
            <v>44194</v>
          </cell>
          <cell r="G135" t="str">
            <v>ÖZKAN DEMİR</v>
          </cell>
          <cell r="H135" t="str">
            <v>ALİ AKÇAY</v>
          </cell>
        </row>
        <row r="136">
          <cell r="C136" t="str">
            <v>Alpay Anaokulu Kepez Antalya</v>
          </cell>
          <cell r="D136" t="str">
            <v>Şelale Mh. Anadolu Cd. No:56/A-B Kepez Antalya</v>
          </cell>
          <cell r="E136" t="str">
            <v>KEPEZ</v>
          </cell>
          <cell r="F136">
            <v>44237</v>
          </cell>
          <cell r="G136" t="str">
            <v>TUĞBA ALDI</v>
          </cell>
          <cell r="H136" t="str">
            <v>VELİ GÖK</v>
          </cell>
        </row>
        <row r="137">
          <cell r="C137" t="str">
            <v>Sülemiş Muratpaşa Antalya</v>
          </cell>
          <cell r="D137" t="str">
            <v>Şirinyalı Mah. 1503/1 Sok. Villa Cennet Sit. No:15 A Muratpaşa Antalya (5126988319)</v>
          </cell>
          <cell r="E137" t="str">
            <v>MURATPAŞA</v>
          </cell>
          <cell r="F137">
            <v>44253</v>
          </cell>
          <cell r="G137" t="str">
            <v>ERDAL ARSLAN</v>
          </cell>
          <cell r="H137" t="str">
            <v>ŞADAN YURDAKUL</v>
          </cell>
        </row>
        <row r="138">
          <cell r="C138" t="str">
            <v>İsmet İnönü Kepez Antalya</v>
          </cell>
          <cell r="D138" t="str">
            <v>Hüsnü Karakaş Mh. Fatin Rüştü Zorlu Cd. No:13/AA-AB Kepez Antalya</v>
          </cell>
          <cell r="E138" t="str">
            <v>KEPEZ</v>
          </cell>
          <cell r="F138">
            <v>44266</v>
          </cell>
          <cell r="G138" t="str">
            <v>RAMAZAN ÇATALTAŞ</v>
          </cell>
          <cell r="H138" t="str">
            <v>ŞADAN YURDAKUL</v>
          </cell>
        </row>
        <row r="139">
          <cell r="C139" t="str">
            <v>Avni Tolunay Muratpaşa Antalya</v>
          </cell>
          <cell r="D139" t="str">
            <v>Meydankavağı Mah. 1562/1 Sok. No:12 A Muratpaşa Antalya (1336392137)</v>
          </cell>
          <cell r="E139" t="str">
            <v>MURATPAŞA</v>
          </cell>
          <cell r="F139">
            <v>44267</v>
          </cell>
          <cell r="G139" t="str">
            <v>ABDULLAH BAY</v>
          </cell>
          <cell r="H139" t="str">
            <v>VELİ GÖK</v>
          </cell>
        </row>
        <row r="140">
          <cell r="C140" t="str">
            <v>KılıçPark Muratpaşa Antalya</v>
          </cell>
          <cell r="D140" t="str">
            <v>Konuksever Mahallesi 821 Sokak C. Doğan Apt. No: 9A Muratpaşa / Antalya</v>
          </cell>
          <cell r="E140" t="str">
            <v>MURATPAŞA</v>
          </cell>
          <cell r="F140">
            <v>45260</v>
          </cell>
          <cell r="G140" t="str">
            <v>İSMET YILMAZ</v>
          </cell>
          <cell r="H140" t="str">
            <v>GİZEM TOSUN</v>
          </cell>
        </row>
        <row r="141">
          <cell r="C141" t="str">
            <v>Barınaklar Muratpaşa Antalya</v>
          </cell>
          <cell r="D141" t="str">
            <v>Çağlayan Mah. Barınaklar Bulv. Pınar Apt. Sit. No:116 A Muratpaşa Antalya (2958424620)</v>
          </cell>
          <cell r="E141" t="str">
            <v>MURATPAŞA</v>
          </cell>
          <cell r="F141">
            <v>44320</v>
          </cell>
          <cell r="G141" t="str">
            <v>EMRAH AKINCI</v>
          </cell>
          <cell r="H141" t="str">
            <v>ALİ AKÇAY</v>
          </cell>
        </row>
        <row r="142">
          <cell r="C142" t="str">
            <v>Yeni Düdenbaşı Kepez Antalya</v>
          </cell>
          <cell r="D142" t="str">
            <v>Teomanpaşa Mh. 15 Temmuz Şehitler Cd. No:29/A Kepez Antalya</v>
          </cell>
          <cell r="E142" t="str">
            <v>KEPEZ</v>
          </cell>
          <cell r="F142">
            <v>44327</v>
          </cell>
          <cell r="G142" t="str">
            <v>KADİR ÇETİN</v>
          </cell>
          <cell r="H142" t="str">
            <v>VELİ GÖK</v>
          </cell>
        </row>
        <row r="143">
          <cell r="C143" t="str">
            <v>Konuksever Muratpaşa Antalya</v>
          </cell>
          <cell r="D143" t="str">
            <v>Konuksever Mah. 819 Sok. Erçelik Apt No:10 K:1 Muratpaşa Antalya (1287717183)</v>
          </cell>
          <cell r="E143" t="str">
            <v>MURATPAŞA</v>
          </cell>
          <cell r="F143">
            <v>43384</v>
          </cell>
          <cell r="G143" t="str">
            <v>İSMET YILMAZ</v>
          </cell>
          <cell r="H143" t="str">
            <v>GİZEM TOSUN</v>
          </cell>
        </row>
        <row r="144">
          <cell r="C144" t="str">
            <v>Mehmet Çetin Muratpaşa/Antalya</v>
          </cell>
          <cell r="D144" t="str">
            <v>Muratpaşa Mahallesi, Karacaoğlan Cd. 597 Sk. Çetin Apartm. No:11(1-2-3-4-5-6 Nolu Dükkanlar)</v>
          </cell>
          <cell r="E144" t="str">
            <v>MURATPAŞA</v>
          </cell>
          <cell r="F144">
            <v>45838</v>
          </cell>
          <cell r="G144" t="str">
            <v>İSMET YILMAZ</v>
          </cell>
          <cell r="H144" t="str">
            <v>GİZEM TOSUN</v>
          </cell>
        </row>
        <row r="145">
          <cell r="C145" t="str">
            <v>Zambak Muratpaşa Antalya</v>
          </cell>
          <cell r="D145" t="str">
            <v>Sedir Mah. 726 Sok. Ünver Osman Apt. Sit. No: 6 A - 6 B Muratpaşa Antalya (1391813845)(1439512250)</v>
          </cell>
          <cell r="E145" t="str">
            <v>MURATPAŞA</v>
          </cell>
          <cell r="F145">
            <v>44469</v>
          </cell>
          <cell r="G145" t="str">
            <v>KILIÇASLAN İYİCAN</v>
          </cell>
          <cell r="H145" t="str">
            <v>ALİ AKÇAY</v>
          </cell>
        </row>
        <row r="146">
          <cell r="C146" t="str">
            <v>Gaziler Kepez Antalya</v>
          </cell>
          <cell r="D146" t="str">
            <v>Gaziler Mah. Gaziler Cad. No:192/D Kepez Antalya</v>
          </cell>
          <cell r="E146" t="str">
            <v>KEPEZ</v>
          </cell>
          <cell r="F146">
            <v>44516</v>
          </cell>
          <cell r="G146" t="str">
            <v>TUĞBA ALDI</v>
          </cell>
          <cell r="H146" t="str">
            <v>VELİ GÖK</v>
          </cell>
        </row>
        <row r="147">
          <cell r="C147" t="str">
            <v>Tıp Merkezi Muratpaşa Antalya</v>
          </cell>
          <cell r="D147" t="str">
            <v>Sedir Mah. Gazi Bulvarı Bulvar Apt. Sitesi No:74 A Muratpaşa Antalya (1797700323)</v>
          </cell>
          <cell r="E147" t="str">
            <v>MURATPAŞA</v>
          </cell>
          <cell r="F147">
            <v>44617</v>
          </cell>
          <cell r="G147" t="str">
            <v>FİKRET HOCA</v>
          </cell>
          <cell r="H147" t="str">
            <v>ALİ AKÇAY</v>
          </cell>
        </row>
        <row r="148">
          <cell r="C148" t="str">
            <v>Cumartesi Pazarı Kepez Antalya</v>
          </cell>
          <cell r="D148" t="str">
            <v>Habibler Mah. 5608 Sk. No:6/AD-AE-AF-AT Kepez Antalya</v>
          </cell>
          <cell r="E148" t="str">
            <v>KEPEZ</v>
          </cell>
          <cell r="F148">
            <v>44674</v>
          </cell>
          <cell r="G148" t="str">
            <v>SELİM GÜNDÜZ</v>
          </cell>
          <cell r="H148" t="str">
            <v>ŞADAN YURDAKUL</v>
          </cell>
        </row>
        <row r="149">
          <cell r="C149" t="str">
            <v>Göksu Mh. Kepez Antalya</v>
          </cell>
          <cell r="D149" t="str">
            <v>Göksu Mah. 6806 Sok. No:12-C Kepez Antalya</v>
          </cell>
          <cell r="E149" t="str">
            <v>KEPEZ</v>
          </cell>
          <cell r="F149">
            <v>44704</v>
          </cell>
          <cell r="G149" t="str">
            <v>SİNEM ÖZKAYA</v>
          </cell>
          <cell r="H149" t="str">
            <v>ŞADAN YURDAKUL</v>
          </cell>
        </row>
        <row r="150">
          <cell r="C150" t="str">
            <v>Mustafa Koç Camii Kepez-Antalya</v>
          </cell>
          <cell r="D150" t="str">
            <v>Sütçüler Mahallesi 6506 Sokak No:20/B KEPEZ/ANTALYA</v>
          </cell>
          <cell r="E150" t="str">
            <v>KEPEZ</v>
          </cell>
          <cell r="F150">
            <v>44740</v>
          </cell>
          <cell r="G150" t="str">
            <v>YUNUS BAYSAL</v>
          </cell>
          <cell r="H150" t="str">
            <v>ŞADAN YURDAKUL</v>
          </cell>
        </row>
        <row r="151">
          <cell r="C151" t="str">
            <v>Spor89 Kepez Antalya</v>
          </cell>
          <cell r="D151" t="str">
            <v>Zeytinlik mahallesi 20. cadde No:72/A</v>
          </cell>
          <cell r="E151" t="str">
            <v>KEPEZ</v>
          </cell>
          <cell r="F151">
            <v>44796</v>
          </cell>
          <cell r="G151" t="str">
            <v>TUĞBA ALDI</v>
          </cell>
          <cell r="H151" t="str">
            <v>VELİ GÖK</v>
          </cell>
        </row>
        <row r="152">
          <cell r="C152" t="str">
            <v>Büyükşehir Muratpaşa Antalya</v>
          </cell>
          <cell r="D152" t="str">
            <v>Yüksekalan Mh. 538. Sk. 5241 Ada 03 parsel nolu dükkan Muratpaşa/Antalya</v>
          </cell>
          <cell r="E152" t="str">
            <v>MURATPAŞA</v>
          </cell>
          <cell r="F152">
            <v>45738</v>
          </cell>
          <cell r="G152" t="str">
            <v>MEHMET KÜÇÜKOĞLU</v>
          </cell>
          <cell r="H152" t="str">
            <v>GİZEM TOSUN</v>
          </cell>
        </row>
        <row r="153">
          <cell r="C153" t="str">
            <v>Sanat Akademi Muratpaşa Antalya</v>
          </cell>
          <cell r="D153" t="str">
            <v>Meydan Kavağı Mah. İsmail Cem Cad. Reşide Hanım Sit. A Blok 36/A Muratpaşa Antalya (2744834645)</v>
          </cell>
          <cell r="E153" t="str">
            <v>MURATPAŞA</v>
          </cell>
          <cell r="F153">
            <v>44856</v>
          </cell>
          <cell r="G153" t="str">
            <v>ABDULLAH BAY</v>
          </cell>
          <cell r="H153" t="str">
            <v>VELİ GÖK</v>
          </cell>
        </row>
        <row r="154">
          <cell r="C154" t="str">
            <v>Celal Kaya Muratpaşa Antalya</v>
          </cell>
          <cell r="D154" t="str">
            <v>Haşim İşcan mahallesi Arık caddesi Eray Apt. No:10/A</v>
          </cell>
          <cell r="E154" t="str">
            <v>MURATPAŞA</v>
          </cell>
          <cell r="F154">
            <v>45167</v>
          </cell>
          <cell r="G154" t="str">
            <v>MEHMET KÜÇÜKOĞLU</v>
          </cell>
          <cell r="H154" t="str">
            <v>GİZEM TOSUN</v>
          </cell>
        </row>
        <row r="155">
          <cell r="C155" t="str">
            <v>Fabrikalar Kepez Antalya</v>
          </cell>
          <cell r="D155" t="str">
            <v>Fabrikalar Mah. Fikri Erten Cad. Salepçi Sit. No:27/A Kepez Antalya (2425048044)</v>
          </cell>
          <cell r="E155" t="str">
            <v>KEPEZ</v>
          </cell>
          <cell r="F155">
            <v>44884</v>
          </cell>
          <cell r="G155" t="str">
            <v>KILIÇASLAN İYİCAN</v>
          </cell>
          <cell r="H155" t="str">
            <v>ALİ AKÇAY</v>
          </cell>
        </row>
        <row r="156">
          <cell r="C156" t="str">
            <v>Gençlik/Muratpaşa/ANTALYA</v>
          </cell>
          <cell r="D156" t="str">
            <v>Gençlik Mah.Fevzi Çakmak Cad.Enver Bey Apt.No:28/1 Muratpaşa / ANTALYA</v>
          </cell>
          <cell r="E156" t="str">
            <v>MURATPAŞA</v>
          </cell>
          <cell r="F156">
            <v>41747</v>
          </cell>
          <cell r="G156" t="str">
            <v>MEHMET KÜÇÜKOĞLU</v>
          </cell>
          <cell r="H156" t="str">
            <v>GİZEM TOSUN</v>
          </cell>
        </row>
        <row r="157">
          <cell r="C157" t="str">
            <v>Fatmanur Çelik Kepez Antalya</v>
          </cell>
          <cell r="D157" t="str">
            <v>Teomanpaşa Mah. 2226 Sok. Yazgı Apt. No: 6 A / KEPEZ / ANTALYA (2842039493)</v>
          </cell>
          <cell r="E157" t="str">
            <v>KEPEZ</v>
          </cell>
          <cell r="F157">
            <v>44921</v>
          </cell>
          <cell r="G157" t="str">
            <v>KADİR ÇETİN</v>
          </cell>
          <cell r="H157" t="str">
            <v>VELİ GÖK</v>
          </cell>
        </row>
        <row r="158">
          <cell r="C158" t="str">
            <v>Kız Yurdu Kepez Antalya</v>
          </cell>
          <cell r="D158" t="str">
            <v>Habibler Mah. 6576 Sok. No:16AA Kepez / Antalya (5160065354)</v>
          </cell>
          <cell r="E158" t="str">
            <v>KEPEZ</v>
          </cell>
          <cell r="F158">
            <v>44921</v>
          </cell>
          <cell r="G158" t="str">
            <v>YUNUS BAYSAL</v>
          </cell>
          <cell r="H158" t="str">
            <v>ŞADAN YURDAKUL</v>
          </cell>
        </row>
        <row r="159">
          <cell r="C159" t="str">
            <v>23. Cadde Kepez Antalya</v>
          </cell>
          <cell r="D159" t="str">
            <v>Ayanoğlu Mh. 23. Cadde No:16/A Kepez / Antalya (5484033971)</v>
          </cell>
          <cell r="E159" t="str">
            <v>KEPEZ</v>
          </cell>
          <cell r="F159">
            <v>44924</v>
          </cell>
          <cell r="G159" t="str">
            <v>SELİM GÜNDÜZ</v>
          </cell>
          <cell r="H159" t="str">
            <v>ŞADAN YURDAKUL</v>
          </cell>
        </row>
        <row r="160">
          <cell r="C160" t="str">
            <v>Yüzbaşı Mustafa Ertuğrul Kepez Antalya</v>
          </cell>
          <cell r="D160" t="str">
            <v>Gazi Mh. 6545. Sokak A Blok No: 18AB Kepez / Antalya (5398758184)</v>
          </cell>
          <cell r="E160" t="str">
            <v>KEPEZ</v>
          </cell>
          <cell r="F160">
            <v>44925</v>
          </cell>
          <cell r="G160" t="str">
            <v>YUNUS BAYSAL</v>
          </cell>
          <cell r="H160" t="str">
            <v>ŞADAN YURDAKUL</v>
          </cell>
        </row>
        <row r="161">
          <cell r="C161" t="str">
            <v>Üçyol Kepez Antalya</v>
          </cell>
          <cell r="D161" t="str">
            <v>Baraj Mah. 5833 Sok. 1A-BLOK No: 4A /  Kepez / Antalya (5287665797)</v>
          </cell>
          <cell r="E161" t="str">
            <v>KEPEZ</v>
          </cell>
          <cell r="F161">
            <v>44947</v>
          </cell>
          <cell r="G161" t="str">
            <v>RAMAZAN ÇATALTAŞ</v>
          </cell>
          <cell r="H161" t="str">
            <v>ŞADAN YURDAKUL</v>
          </cell>
        </row>
        <row r="162">
          <cell r="C162" t="str">
            <v>Orhan Veli Cd Kepez Antalya</v>
          </cell>
          <cell r="D162" t="str">
            <v>Ulus Mah. Orhan Veli Cad. No:58/A Yüce apt. Kepez / Antalya (1363613942)</v>
          </cell>
          <cell r="E162" t="str">
            <v>KEPEZ</v>
          </cell>
          <cell r="F162">
            <v>44950</v>
          </cell>
          <cell r="G162" t="str">
            <v>FİKRET HOCA</v>
          </cell>
          <cell r="H162" t="str">
            <v>ALİ AKÇAY</v>
          </cell>
        </row>
        <row r="163">
          <cell r="C163" t="str">
            <v>Atatürk Cd Kepez Antalya</v>
          </cell>
          <cell r="D163" t="str">
            <v>Şelale Mah. 7497 Sok. No: 13/1  13/ 2  13/3  Kepez / ANTALYA</v>
          </cell>
          <cell r="E163" t="str">
            <v>KEPEZ</v>
          </cell>
          <cell r="F163">
            <v>44957</v>
          </cell>
          <cell r="G163" t="str">
            <v>TUĞBA ALDI</v>
          </cell>
          <cell r="H163" t="str">
            <v>VELİ GÖK</v>
          </cell>
        </row>
        <row r="164">
          <cell r="C164" t="str">
            <v>Borsa Lisesi Kepez Antalya</v>
          </cell>
          <cell r="D164" t="str">
            <v>Hüsnü Karakaş mahallesi. 3608 sokak. 15/A 15/B</v>
          </cell>
          <cell r="E164" t="str">
            <v>KEPEZ</v>
          </cell>
          <cell r="F164">
            <v>44985</v>
          </cell>
          <cell r="G164" t="str">
            <v>RAMAZAN ÇATALTAŞ</v>
          </cell>
          <cell r="H164" t="str">
            <v>ŞADAN YURDAKUL</v>
          </cell>
        </row>
        <row r="165">
          <cell r="C165" t="str">
            <v>Hakan Karakaya Kepez Antalya</v>
          </cell>
          <cell r="D165" t="str">
            <v>Güneş Mah. Şehit Astsubay Unay Ömer Halis Cd. No: 112 A / KEPEZ / ANTALYA (5317626876)</v>
          </cell>
          <cell r="E165" t="str">
            <v>KEPEZ</v>
          </cell>
          <cell r="F165">
            <v>44985</v>
          </cell>
          <cell r="G165" t="str">
            <v>SALİH SERKAN ERÇİN</v>
          </cell>
          <cell r="H165" t="str">
            <v>VELİ GÖK</v>
          </cell>
        </row>
        <row r="166">
          <cell r="C166" t="str">
            <v>Ritim Kepez Antalya</v>
          </cell>
          <cell r="D166" t="str">
            <v>Hüsnü Karakaş  Mah. Hasan Polatkan Cd. Ritim ANTALYA A blok  No: 15 AA / KEPEZ / ANTALYA</v>
          </cell>
          <cell r="E166" t="str">
            <v>KEPEZ</v>
          </cell>
          <cell r="F166">
            <v>44991</v>
          </cell>
          <cell r="G166" t="str">
            <v>SALİH SERKAN ERÇİN</v>
          </cell>
          <cell r="H166" t="str">
            <v>VELİ GÖK</v>
          </cell>
        </row>
        <row r="167">
          <cell r="C167" t="str">
            <v>Uhud Camii Kepez</v>
          </cell>
          <cell r="D167" t="str">
            <v>HÜSNÜ KARAKAŞ Mah. ELMALILI HAMDİ YAZIR Cd. AY Işığı sit. C BLOK No: 9 C / KEPEZ / ANTALYA</v>
          </cell>
          <cell r="E167" t="str">
            <v>KEPEZ</v>
          </cell>
          <cell r="F167">
            <v>45016</v>
          </cell>
          <cell r="G167" t="str">
            <v>SALİH SERKAN ERÇİN</v>
          </cell>
          <cell r="H167" t="str">
            <v>VELİ GÖK</v>
          </cell>
        </row>
        <row r="168">
          <cell r="C168" t="str">
            <v>Hurdacılar Kepez</v>
          </cell>
          <cell r="D168" t="str">
            <v>Şelale mah.Hacı Durmuş cad.65/A Kepez Antalya</v>
          </cell>
          <cell r="E168" t="str">
            <v>KEPEZ</v>
          </cell>
          <cell r="F168">
            <v>45077</v>
          </cell>
          <cell r="G168" t="str">
            <v>TUĞBA ALDI</v>
          </cell>
          <cell r="H168" t="str">
            <v>VELİ GÖK</v>
          </cell>
        </row>
        <row r="169">
          <cell r="C169" t="str">
            <v>Turgay Koca Kepez</v>
          </cell>
          <cell r="D169" t="str">
            <v>Ayanoğlu mahallesi.General Hulusi Kayın caddesi. No:42/B</v>
          </cell>
          <cell r="E169" t="str">
            <v>KEPEZ</v>
          </cell>
          <cell r="F169">
            <v>45084</v>
          </cell>
          <cell r="G169" t="str">
            <v>SELİM GÜNDÜZ</v>
          </cell>
          <cell r="H169" t="str">
            <v>ŞADAN YURDAKUL</v>
          </cell>
        </row>
        <row r="170">
          <cell r="C170" t="str">
            <v>Işıklar</v>
          </cell>
          <cell r="D170" t="str">
            <v>Gençlik mah.ışıklar cad dış kapı no:43 avşaroğlu cade apt bağımsız bölüm no :29 ve 30</v>
          </cell>
          <cell r="E170" t="str">
            <v>MURATPAŞA</v>
          </cell>
          <cell r="F170">
            <v>46029</v>
          </cell>
          <cell r="G170" t="str">
            <v>MEHMET KÜÇÜKOĞLU</v>
          </cell>
          <cell r="H170" t="str">
            <v>GİZEM TOSUN</v>
          </cell>
        </row>
        <row r="171">
          <cell r="C171" t="str">
            <v>Meltem Muratpaşa Antalya</v>
          </cell>
          <cell r="D171" t="str">
            <v>Meltem mah. 3807 Sokak. Anakent Sit. B2 Blok No :9 D / 1 (2312243435)</v>
          </cell>
          <cell r="E171" t="str">
            <v>MURATPAŞA</v>
          </cell>
          <cell r="F171">
            <v>45138</v>
          </cell>
          <cell r="G171" t="str">
            <v>İBRAHİM DURBALİ</v>
          </cell>
          <cell r="H171" t="str">
            <v>ALİ AKÇAY</v>
          </cell>
        </row>
        <row r="172">
          <cell r="C172" t="str">
            <v>Kızıl Saray Muratpaşa/Antalya</v>
          </cell>
          <cell r="D172" t="str">
            <v>Kızılsaray Mahallesi, 68.Sokak, No:127 Muratpaşa/Antalya</v>
          </cell>
          <cell r="E172" t="str">
            <v>MURATPAŞA</v>
          </cell>
          <cell r="F172">
            <v>45504</v>
          </cell>
          <cell r="G172" t="str">
            <v>MEHMET KÜÇÜKOĞLU</v>
          </cell>
          <cell r="H172" t="str">
            <v>GİZEM TOSUN</v>
          </cell>
        </row>
        <row r="173">
          <cell r="C173" t="str">
            <v>Adliye Muratpaşa Antalya</v>
          </cell>
          <cell r="D173" t="str">
            <v>Bayındır mh.322 sokak.Doğan Apt. No:47/A Muratpaşa /Antalya</v>
          </cell>
          <cell r="E173" t="str">
            <v>MURATPAŞA</v>
          </cell>
          <cell r="F173">
            <v>45199</v>
          </cell>
          <cell r="G173" t="str">
            <v>ÖZKAN DEMİR</v>
          </cell>
          <cell r="H173" t="str">
            <v>ALİ AKÇAY</v>
          </cell>
        </row>
        <row r="174">
          <cell r="C174" t="str">
            <v>Nene Hatun Kepez Antalya</v>
          </cell>
          <cell r="D174" t="str">
            <v>Göksu mahallesi. Nene Hatun Caddesi No :7/A Kepez/Antalya</v>
          </cell>
          <cell r="E174" t="str">
            <v>KEPEZ</v>
          </cell>
          <cell r="F174">
            <v>45209</v>
          </cell>
          <cell r="G174" t="str">
            <v>SİNEM ÖZKAYA</v>
          </cell>
          <cell r="H174" t="str">
            <v>ŞADAN YURDAKUL</v>
          </cell>
        </row>
        <row r="175">
          <cell r="C175" t="str">
            <v>Milli Egemenlik Muratpaşa ANTALYA</v>
          </cell>
          <cell r="D175" t="str">
            <v>Kışla Mah. Milli Egemenlik Cad. 24K Muratpaşa / Antalya (1450388895) (42 sokak No:2A Muratpaşa Antalya</v>
          </cell>
          <cell r="E175" t="str">
            <v>MURATPAŞA</v>
          </cell>
          <cell r="F175">
            <v>42228</v>
          </cell>
          <cell r="G175" t="str">
            <v>MEHMET KÜÇÜKOĞLU</v>
          </cell>
          <cell r="H175" t="str">
            <v>GİZEM TOSUN</v>
          </cell>
        </row>
        <row r="176">
          <cell r="C176" t="str">
            <v>Nirivana Kepez Antalya</v>
          </cell>
          <cell r="D176" t="str">
            <v>Habibler mah.Elmalılı Hamdi Yazır cad. No:87A Kepez/Antalya</v>
          </cell>
          <cell r="E176" t="str">
            <v>KEPEZ</v>
          </cell>
          <cell r="F176">
            <v>45289</v>
          </cell>
          <cell r="G176" t="str">
            <v>RAMAZAN ÇATALTAŞ</v>
          </cell>
          <cell r="H176" t="str">
            <v>ŞADAN YURDAKUL</v>
          </cell>
        </row>
        <row r="177">
          <cell r="C177" t="str">
            <v>Ata Park Muratpaşa Antalya</v>
          </cell>
          <cell r="D177" t="str">
            <v>Güzeoba mah.2253 sokak (KOZAN SOKAK) Nazmiye Öz Apart.  no:11/A 11/B</v>
          </cell>
          <cell r="E177" t="str">
            <v>MURATPAŞA</v>
          </cell>
          <cell r="F177">
            <v>45290</v>
          </cell>
          <cell r="G177" t="str">
            <v>ÇAĞRI YALÇIN</v>
          </cell>
          <cell r="H177" t="str">
            <v>VELİ GÖK</v>
          </cell>
        </row>
        <row r="178">
          <cell r="C178" t="str">
            <v>Kanal Yolu Kepez Antalya</v>
          </cell>
          <cell r="D178" t="str">
            <v>Ayanoğlu mah.Şehit Musa Özkan Cd. No:35/A-B</v>
          </cell>
          <cell r="E178" t="str">
            <v>KEPEZ</v>
          </cell>
          <cell r="F178">
            <v>45291</v>
          </cell>
          <cell r="G178" t="str">
            <v>SELİM GÜNDÜZ</v>
          </cell>
          <cell r="H178" t="str">
            <v>ŞADAN YURDAKUL</v>
          </cell>
        </row>
        <row r="179">
          <cell r="C179" t="str">
            <v>Erbakan Kepez Antalya</v>
          </cell>
          <cell r="D179" t="str">
            <v>Habipler Mh. Prof Dr. Necmettin Erbakan Cd.  Fatih Apt. No:35/1AA</v>
          </cell>
          <cell r="E179" t="str">
            <v>KEPEZ</v>
          </cell>
          <cell r="F179">
            <v>45307</v>
          </cell>
          <cell r="G179" t="str">
            <v>YUNUS BAYSAL</v>
          </cell>
          <cell r="H179" t="str">
            <v>ŞADAN YURDAKUL</v>
          </cell>
        </row>
        <row r="180">
          <cell r="C180" t="str">
            <v>Kütüphane Kepez Antalya</v>
          </cell>
          <cell r="D180" t="str">
            <v>Teomanpaşa mahallesi Necip Fazıl Kısakürek caddesi No:19/A Kepez/Antalya</v>
          </cell>
          <cell r="E180" t="str">
            <v>KEPEZ</v>
          </cell>
          <cell r="F180">
            <v>45321</v>
          </cell>
          <cell r="G180" t="str">
            <v>KADİR ÇETİN</v>
          </cell>
          <cell r="H180" t="str">
            <v>VELİ GÖK</v>
          </cell>
        </row>
        <row r="181">
          <cell r="C181" t="str">
            <v>Farabi Kepez Antalya</v>
          </cell>
          <cell r="D181" t="str">
            <v>Göksu mah.Farabi Cad. Fatma Hanım Apt. No:13/A</v>
          </cell>
          <cell r="E181" t="str">
            <v>KEPEZ</v>
          </cell>
          <cell r="F181">
            <v>45322</v>
          </cell>
          <cell r="G181" t="str">
            <v>SİNEM ÖZKAYA</v>
          </cell>
          <cell r="H181" t="str">
            <v>ŞADAN YURDAKUL</v>
          </cell>
        </row>
        <row r="182">
          <cell r="C182" t="str">
            <v>Meriç Muratpaşa Antalya</v>
          </cell>
          <cell r="D182" t="str">
            <v>Güzeloba mah.2239 sokak No:10A/A 10A/B</v>
          </cell>
          <cell r="E182" t="str">
            <v>MURATPAŞA</v>
          </cell>
          <cell r="F182">
            <v>45322</v>
          </cell>
          <cell r="G182" t="str">
            <v>EMRAH AKINCI</v>
          </cell>
          <cell r="H182" t="str">
            <v>ALİ AKÇAY</v>
          </cell>
        </row>
        <row r="183">
          <cell r="C183" t="str">
            <v>Pınar Caddesi Muratpaşa Antalya</v>
          </cell>
          <cell r="D183" t="str">
            <v>Bayındır Mah.Pınar cad.Avcı Apt. No:12/A 12/B Muratpaşa/Antalya</v>
          </cell>
          <cell r="E183" t="str">
            <v>MURATPAŞA</v>
          </cell>
          <cell r="F183">
            <v>45322</v>
          </cell>
          <cell r="G183" t="str">
            <v>ÜMİT KIRBAŞ</v>
          </cell>
          <cell r="H183" t="str">
            <v>ALİ AKÇAY</v>
          </cell>
        </row>
        <row r="184">
          <cell r="C184" t="str">
            <v>Şerife Tufan Kepez Antalya</v>
          </cell>
          <cell r="D184" t="str">
            <v>Mehmet Akif Ersoy mah. 6758 sokak No:10/B</v>
          </cell>
          <cell r="E184" t="str">
            <v>KEPEZ</v>
          </cell>
          <cell r="F184">
            <v>45322</v>
          </cell>
          <cell r="G184" t="str">
            <v>SALİH SERKAN ERÇİN</v>
          </cell>
          <cell r="H184" t="str">
            <v>VELİ GÖK</v>
          </cell>
        </row>
        <row r="185">
          <cell r="C185" t="str">
            <v>Acil Kepez Antalya</v>
          </cell>
          <cell r="D185" t="str">
            <v>Hüsnü Karakaş mah.3509 sokak.7A/1 A1 BLOK Kepez/Antalya</v>
          </cell>
          <cell r="E185" t="str">
            <v>KEPEZ</v>
          </cell>
          <cell r="F185">
            <v>45348</v>
          </cell>
          <cell r="G185" t="str">
            <v>SALİH SERKAN ERÇİN</v>
          </cell>
          <cell r="H185" t="str">
            <v>VELİ GÖK</v>
          </cell>
        </row>
        <row r="186">
          <cell r="C186" t="str">
            <v>Yener Ulusoy Muratpaşa Antalya</v>
          </cell>
          <cell r="D186" t="str">
            <v>Kızılsaray Mah. 88 Sokak M. Salih Neşşer Apt. Altı NO:8 A  Muratpaşa Antalya (1339315424)</v>
          </cell>
          <cell r="E186" t="str">
            <v>MURATPAŞA</v>
          </cell>
          <cell r="F186">
            <v>43097</v>
          </cell>
          <cell r="G186" t="str">
            <v>MEHMET KÜÇÜKOĞLU</v>
          </cell>
          <cell r="H186" t="str">
            <v>GİZEM TOSUN</v>
          </cell>
        </row>
        <row r="187">
          <cell r="C187" t="str">
            <v>Yalı Muratpaşa Antalya</v>
          </cell>
          <cell r="D187" t="str">
            <v>Çağlayan mah.Fener caddesi Seyhan Apt.No:74/A Muratpaşa/Antalya</v>
          </cell>
          <cell r="E187" t="str">
            <v>MURATPAŞA</v>
          </cell>
          <cell r="F187">
            <v>45351</v>
          </cell>
          <cell r="G187" t="str">
            <v>ERDAL ARSLAN</v>
          </cell>
          <cell r="H187" t="str">
            <v>ŞADAN YURDAKUL</v>
          </cell>
        </row>
        <row r="188">
          <cell r="C188" t="str">
            <v>Ekpa Kepez Antalya</v>
          </cell>
          <cell r="D188" t="str">
            <v>Güneş mah. Şehit Astsubay Ömer Halis Demir Cad. A2 Blok No:95</v>
          </cell>
          <cell r="E188" t="str">
            <v>KEPEZ</v>
          </cell>
          <cell r="F188">
            <v>45381</v>
          </cell>
          <cell r="G188" t="str">
            <v>KERİM YÜREKLİ</v>
          </cell>
          <cell r="H188" t="str">
            <v>VELİ GÖK</v>
          </cell>
        </row>
        <row r="189">
          <cell r="C189" t="str">
            <v>Serden Geçti Kepez Antalya</v>
          </cell>
          <cell r="D189" t="str">
            <v>Teomanpaşa Mh, Osman Yüksel Serden Geçti Cad, No:10 3.N.B.B.</v>
          </cell>
          <cell r="E189" t="str">
            <v>KEPEZ</v>
          </cell>
          <cell r="F189">
            <v>45436</v>
          </cell>
          <cell r="G189" t="str">
            <v>KERİM YÜREKLİ</v>
          </cell>
          <cell r="H189" t="str">
            <v>VELİ GÖK</v>
          </cell>
        </row>
        <row r="190">
          <cell r="C190" t="str">
            <v>15 Katlılar Kepez Antalya</v>
          </cell>
          <cell r="D190" t="str">
            <v>Mehmet Akif Ersoy mh. 15 Temmuz Şehitler cd. No:83/AA 13.N.B.B. - 83/AB 14.N.B.B. - 83/AC 15. N.B.B.  Kepez/Antalya</v>
          </cell>
          <cell r="E190" t="str">
            <v>KEPEZ</v>
          </cell>
          <cell r="F190">
            <v>45443</v>
          </cell>
          <cell r="G190" t="str">
            <v>SALİH SERKAN ERÇİN</v>
          </cell>
          <cell r="H190" t="str">
            <v>VELİ GÖK</v>
          </cell>
        </row>
        <row r="191">
          <cell r="C191" t="str">
            <v>Selçuklu Kepez Antalya</v>
          </cell>
          <cell r="D191" t="str">
            <v>Habipler Mah, 5569 sk, No:11A / 11B,  5.-6. N.B.B.</v>
          </cell>
          <cell r="E191" t="str">
            <v>KEPEZ</v>
          </cell>
          <cell r="F191">
            <v>45458</v>
          </cell>
          <cell r="G191" t="str">
            <v>SELİM GÜNDÜZ</v>
          </cell>
          <cell r="H191" t="str">
            <v>ŞADAN YURDAKUL</v>
          </cell>
        </row>
        <row r="192">
          <cell r="C192" t="str">
            <v>Kapalı Yol Muratpaşa/Antalya</v>
          </cell>
          <cell r="D192" t="str">
            <v>Üçgen Mahallesi, Şarampol Caddesii, İbrahim Kortenli Apart. No:133A Muratpaşa/Antalya</v>
          </cell>
          <cell r="E192" t="str">
            <v>MURATPAŞA</v>
          </cell>
          <cell r="F192">
            <v>45502</v>
          </cell>
          <cell r="G192" t="str">
            <v>ÜMİT KIRBAŞ</v>
          </cell>
          <cell r="H192" t="str">
            <v>ALİ AKÇAY</v>
          </cell>
        </row>
        <row r="193">
          <cell r="C193" t="str">
            <v>Yeni Üç Kapılar Muratpaşa Antalya</v>
          </cell>
          <cell r="D193" t="str">
            <v>Sinan Mah. Arık Cad. Oğuzcan Aprt. No:41/21-22 Muratpaşa/Antalya</v>
          </cell>
          <cell r="E193" t="str">
            <v>MURATPAŞA</v>
          </cell>
          <cell r="F193">
            <v>45741</v>
          </cell>
          <cell r="G193" t="str">
            <v>MEHMET KÜÇÜKOĞLU</v>
          </cell>
          <cell r="H193" t="str">
            <v>GİZEM TOSUN</v>
          </cell>
        </row>
        <row r="194">
          <cell r="C194" t="str">
            <v>Işık Caddesi Kepez/Antalya</v>
          </cell>
          <cell r="D194" t="str">
            <v>Karşıyaka Mahellesi, 3931 Sokak, Keleş Apartmanı, No:27A/B Kepez Antalya</v>
          </cell>
          <cell r="E194" t="str">
            <v>KEPEZ</v>
          </cell>
          <cell r="F194">
            <v>45528</v>
          </cell>
          <cell r="G194" t="str">
            <v>MUHAMMED BAŞARAN</v>
          </cell>
          <cell r="H194" t="str">
            <v>GİZEM TOSUN</v>
          </cell>
        </row>
        <row r="195">
          <cell r="C195" t="str">
            <v>Kahve Çekirdeği Kepez Antalya</v>
          </cell>
          <cell r="D195" t="str">
            <v>Karşıyaka Mah Yıldırım Beyazıt Cad. No:48/A  Kepez / Antalya (1771900170)</v>
          </cell>
          <cell r="E195" t="str">
            <v>KEPEZ</v>
          </cell>
          <cell r="F195">
            <v>44915</v>
          </cell>
          <cell r="G195" t="str">
            <v>MUHAMMED BAŞARAN</v>
          </cell>
          <cell r="H195" t="str">
            <v>GİZEM TOSUN</v>
          </cell>
        </row>
        <row r="196">
          <cell r="C196" t="str">
            <v>Yahya Kemal Kepez/Antalya</v>
          </cell>
          <cell r="D196" t="str">
            <v>Ulus Mahallesi, Mehmet Akif Caddesi, İbrişim Apart. No: 52/1-2 Kepez Antalya</v>
          </cell>
          <cell r="E196" t="str">
            <v>KEPEZ</v>
          </cell>
          <cell r="F196">
            <v>45565</v>
          </cell>
          <cell r="G196" t="str">
            <v>FİKRET HOCA</v>
          </cell>
          <cell r="H196" t="str">
            <v>ALİ AKÇAY</v>
          </cell>
        </row>
        <row r="197">
          <cell r="C197" t="str">
            <v>Esentepe Kepez Antalya</v>
          </cell>
          <cell r="D197" t="str">
            <v>Esentepe Mh. Şahinbey Caddesi No : 1-2 Kepez / Antalya</v>
          </cell>
          <cell r="E197" t="str">
            <v>KEPEZ</v>
          </cell>
          <cell r="F197">
            <v>45656</v>
          </cell>
          <cell r="G197" t="str">
            <v>SELİM GÜNDÜZ</v>
          </cell>
          <cell r="H197" t="str">
            <v>ŞADAN YURDAKUL</v>
          </cell>
        </row>
        <row r="198">
          <cell r="C198" t="str">
            <v>Yeni Niğdeli Parkı Kepez/Antalya</v>
          </cell>
          <cell r="D198" t="str">
            <v>Mehmet Akif Ersoy Mh, Sütçüler Cd. No:22 Kepez Antalya</v>
          </cell>
          <cell r="E198" t="str">
            <v>KEPEZ</v>
          </cell>
          <cell r="F198">
            <v>45673</v>
          </cell>
          <cell r="G198" t="str">
            <v>TUĞBA ALDI</v>
          </cell>
          <cell r="H198" t="str">
            <v>VELİ GÖK</v>
          </cell>
        </row>
        <row r="199">
          <cell r="C199" t="str">
            <v>Karayusuf Kepez Antalya</v>
          </cell>
          <cell r="D199" t="str">
            <v>Karşıyaka Mh. Karayusuf Cd. No:11 Kepez ANTALYA</v>
          </cell>
          <cell r="E199" t="str">
            <v>KEPEZ</v>
          </cell>
          <cell r="F199">
            <v>41482</v>
          </cell>
          <cell r="G199" t="str">
            <v>MUHAMMED BAŞARAN</v>
          </cell>
          <cell r="H199" t="str">
            <v>GİZEM TOSUN</v>
          </cell>
        </row>
        <row r="200">
          <cell r="C200" t="str">
            <v>Karşıyaka Kepez Antalya</v>
          </cell>
          <cell r="D200" t="str">
            <v>Karşıyaka Mh. 3934 Sk. No:61/10-11  Kepez ANTALYA</v>
          </cell>
          <cell r="E200" t="str">
            <v>KEPEZ</v>
          </cell>
          <cell r="F200">
            <v>40688</v>
          </cell>
          <cell r="G200" t="str">
            <v>MUHAMMED BAŞARAN</v>
          </cell>
          <cell r="H200" t="str">
            <v>GİZEM TOSUN</v>
          </cell>
        </row>
        <row r="201">
          <cell r="C201" t="str">
            <v>Neşet Ertaş Muratpaşa Antalya</v>
          </cell>
          <cell r="D201" t="str">
            <v>Güzeloba mahallesi, Havaalanı Cad. No:71 A/D Muratpaşa/Antalya</v>
          </cell>
          <cell r="E201" t="str">
            <v>MURATPAŞA</v>
          </cell>
          <cell r="F201">
            <v>45764</v>
          </cell>
          <cell r="G201" t="str">
            <v>TUĞÇE KOCABAŞ</v>
          </cell>
          <cell r="H201" t="str">
            <v>VELİ GÖK</v>
          </cell>
        </row>
        <row r="202">
          <cell r="C202" t="str">
            <v>Ören Şehir Camii Kepez Antalya</v>
          </cell>
          <cell r="D202" t="str">
            <v>Karşıyaka Mh. Karayusuf Cd. Yanık Apt. No: 45 A/B Kepez ANTALYA</v>
          </cell>
          <cell r="E202" t="str">
            <v>KEPEZ</v>
          </cell>
          <cell r="F202">
            <v>43186</v>
          </cell>
          <cell r="G202" t="str">
            <v>MUHAMMED BAŞARAN</v>
          </cell>
          <cell r="H202" t="str">
            <v>GİZEM TOSUN</v>
          </cell>
        </row>
        <row r="203">
          <cell r="C203" t="str">
            <v>Yaka Kepez Antalya</v>
          </cell>
          <cell r="D203" t="str">
            <v>Karşıyaka Mh. 3927 Sk. No:22 A Kepez Antalya</v>
          </cell>
          <cell r="E203" t="str">
            <v>KEPEZ</v>
          </cell>
          <cell r="F203">
            <v>43675</v>
          </cell>
          <cell r="G203" t="str">
            <v>MUHAMMED BAŞARAN</v>
          </cell>
          <cell r="H203" t="str">
            <v>GİZEM TOSUN</v>
          </cell>
        </row>
        <row r="204">
          <cell r="C204" t="str">
            <v>Yükseliş Mh Kepez Antalya</v>
          </cell>
          <cell r="D204" t="str">
            <v>Yükseliş Mh. 2128 Sk No: 5A-5B-5C Kepez ANTALYA</v>
          </cell>
          <cell r="E204" t="str">
            <v>KEPEZ</v>
          </cell>
          <cell r="F204">
            <v>42551</v>
          </cell>
          <cell r="G204" t="str">
            <v>MUHAMMED BAŞARAN</v>
          </cell>
          <cell r="H204" t="str">
            <v>GİZEM TOSUN</v>
          </cell>
        </row>
        <row r="205">
          <cell r="C205" t="str">
            <v>Ahmet Yesevi</v>
          </cell>
          <cell r="D205" t="str">
            <v>Cumhuriyet Mah. 643 sok. no:18 Muratpaşa/Antalya</v>
          </cell>
          <cell r="E205" t="str">
            <v>MURATPAŞA</v>
          </cell>
          <cell r="F205">
            <v>45953</v>
          </cell>
          <cell r="G205" t="str">
            <v>NESLİHAN ÖZYURT</v>
          </cell>
          <cell r="H205" t="str">
            <v>ALİ AKÇAY</v>
          </cell>
        </row>
        <row r="206">
          <cell r="C206" t="str">
            <v>Ulubatlı Kepez</v>
          </cell>
          <cell r="D206" t="str">
            <v>Ayanoğlu mahallesi 1825 sokak no:3/B Kepez/Antalya</v>
          </cell>
          <cell r="E206" t="str">
            <v>KEPEZ</v>
          </cell>
          <cell r="F206">
            <v>45979</v>
          </cell>
          <cell r="G206" t="str">
            <v>YUNUS BAYSAL</v>
          </cell>
          <cell r="H206" t="str">
            <v>ŞADAN YURDAKUL</v>
          </cell>
        </row>
        <row r="207">
          <cell r="C207" t="str">
            <v>Zübeyde Hanım KEPEZ/ Antalya</v>
          </cell>
          <cell r="D207" t="str">
            <v>Zafer Mah.2628 sok.No:1/3 Kömürcü Apt Kepez/Antalya</v>
          </cell>
          <cell r="E207" t="str">
            <v>KEPEZ</v>
          </cell>
          <cell r="F207">
            <v>45918</v>
          </cell>
          <cell r="G207" t="str">
            <v>MUHAMMED BAŞARAN</v>
          </cell>
          <cell r="H207" t="str">
            <v>GİZEM TOSUN</v>
          </cell>
        </row>
        <row r="209">
          <cell r="C209" t="str">
            <v>ANTALYA MERKEZ</v>
          </cell>
        </row>
        <row r="210">
          <cell r="C210" t="str">
            <v>Kepez: 81</v>
          </cell>
        </row>
        <row r="211">
          <cell r="C211" t="str">
            <v>Muratpaşa:124</v>
          </cell>
        </row>
        <row r="212">
          <cell r="C212" t="str">
            <v>Toplam:205</v>
          </cell>
        </row>
        <row r="216">
          <cell r="C216" t="str">
            <v>Havalimanı Muratpaşa Antalya</v>
          </cell>
          <cell r="D216" t="str">
            <v>Güzeloba Mah. Havaalanı Cad. 2272 Sok. Ülker Apt. Sit. (TAPU B.B. NO:3(TALİ KAPI)Apt.No:2A Muratpaşa/Antalya</v>
          </cell>
          <cell r="E216" t="str">
            <v>MURATPAŞA</v>
          </cell>
          <cell r="F216">
            <v>43984</v>
          </cell>
          <cell r="G216" t="str">
            <v>EMRAH AKINCI</v>
          </cell>
          <cell r="H216" t="str">
            <v>ALİ AKÇAY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3"/>
      <sheetName val="MURATPAŞA BÖLGE"/>
      <sheetName val="Sayfa2"/>
      <sheetName val="MURATPAŞA BÖLGE (2)"/>
      <sheetName val="GEÇİCİ KAPAMA"/>
      <sheetName val="AKCAN ERDİ BEY"/>
      <sheetName val="KAPANAN"/>
      <sheetName val="TAŞINAN"/>
      <sheetName val="LARGE"/>
      <sheetName val="DEVRALINAN"/>
      <sheetName val="TADİLAT MAĞAZALARI"/>
      <sheetName val="ÖZET"/>
    </sheetNames>
    <sheetDataSet>
      <sheetData sheetId="0" refreshError="1"/>
      <sheetData sheetId="1" refreshError="1"/>
      <sheetData sheetId="2" refreshError="1">
        <row r="1">
          <cell r="C1" t="str">
            <v>MARKET ADI</v>
          </cell>
          <cell r="D1" t="str">
            <v>MARKET ADRESİ</v>
          </cell>
          <cell r="E1" t="str">
            <v>İLÇE</v>
          </cell>
          <cell r="F1" t="str">
            <v>AÇILIŞ
TARİHİ</v>
          </cell>
          <cell r="G1" t="str">
            <v>BS</v>
          </cell>
          <cell r="H1" t="str">
            <v>SM</v>
          </cell>
        </row>
        <row r="2">
          <cell r="C2" t="str">
            <v>Bayındır Muratpaşa Antalya</v>
          </cell>
          <cell r="D2" t="str">
            <v>Soğuksu Mh. 300 Sk. Hakverdi Apt. No:36/1 Muratpaşa ANTALYA</v>
          </cell>
          <cell r="E2" t="str">
            <v>MURATPAŞA</v>
          </cell>
          <cell r="F2">
            <v>39570</v>
          </cell>
          <cell r="G2" t="str">
            <v>ÜMİT KIRBAŞ</v>
          </cell>
          <cell r="H2" t="str">
            <v>ALİ AKÇAY</v>
          </cell>
        </row>
        <row r="3">
          <cell r="C3" t="str">
            <v>Portakalçiçeği / ANTALYA</v>
          </cell>
          <cell r="D3" t="str">
            <v>Yeşilbahçe Mah.1466 Sok.Ata Apt.Altı No:29/A Antalya</v>
          </cell>
          <cell r="E3" t="str">
            <v>MURATPAŞA</v>
          </cell>
          <cell r="F3">
            <v>39573</v>
          </cell>
          <cell r="G3" t="str">
            <v>TUĞÇE KOCABAŞ</v>
          </cell>
          <cell r="H3" t="str">
            <v>VELİ GÖK</v>
          </cell>
        </row>
        <row r="4">
          <cell r="C4" t="str">
            <v>Aşık Veysel Muratpaşa Antalya</v>
          </cell>
          <cell r="D4" t="str">
            <v>Yeşildere Mah. 2830(1162) Sok. No: 12 A / Muratpaşa Antalya (3934905088)</v>
          </cell>
          <cell r="E4" t="str">
            <v>MURATPAŞA</v>
          </cell>
          <cell r="F4">
            <v>44355</v>
          </cell>
          <cell r="G4" t="str">
            <v>DOĞAN İSTEMİHAN</v>
          </cell>
          <cell r="H4" t="str">
            <v>GİZEM TOSUN</v>
          </cell>
        </row>
        <row r="5">
          <cell r="C5" t="str">
            <v>Gebizli Muratpaşa Antalya</v>
          </cell>
          <cell r="D5" t="str">
            <v>Gebizli Mahallesi 1101 sokak B blok 3B/1 Muratpaşa Antalya (1962769814)</v>
          </cell>
          <cell r="E5" t="str">
            <v>MURATPAŞA</v>
          </cell>
          <cell r="F5">
            <v>43006</v>
          </cell>
          <cell r="G5" t="str">
            <v>DOĞAN İSTEMİHAN</v>
          </cell>
          <cell r="H5" t="str">
            <v>GİZEM TOSUN</v>
          </cell>
        </row>
        <row r="6">
          <cell r="C6" t="str">
            <v>Güllük Muratpaşa Antalya</v>
          </cell>
          <cell r="D6" t="str">
            <v>Altındağ Mh. Güllük Cd. No:85 A.B.C.F Muratpaşa ANTALYA</v>
          </cell>
          <cell r="E6" t="str">
            <v>MURATPAŞA</v>
          </cell>
          <cell r="F6">
            <v>39708</v>
          </cell>
          <cell r="G6" t="str">
            <v>İBRAHİM DURBALİ</v>
          </cell>
          <cell r="H6" t="str">
            <v>ALİ AKÇAY</v>
          </cell>
        </row>
        <row r="7">
          <cell r="C7" t="str">
            <v>Kızıltoprak / ANTALYA</v>
          </cell>
          <cell r="D7" t="str">
            <v>Kızıltoprak Mah.Şehit Ercan Cad. Ayşe Adakan Apt.No:9 ANTALYA</v>
          </cell>
          <cell r="E7" t="str">
            <v>MURATPAŞA</v>
          </cell>
          <cell r="F7">
            <v>40596</v>
          </cell>
          <cell r="G7" t="str">
            <v>DOĞAN İSTEMİHAN</v>
          </cell>
          <cell r="H7" t="str">
            <v>GİZEM TOSUN</v>
          </cell>
        </row>
        <row r="8">
          <cell r="C8" t="str">
            <v>Dokuma KEPEZ Antalya</v>
          </cell>
          <cell r="D8" t="str">
            <v>Özgürlük Mh. Mithatpaşa Cd. Mülazımoğulları Apt. No:97/A Kepez ANTALYA</v>
          </cell>
          <cell r="E8" t="str">
            <v>KEPEZ</v>
          </cell>
          <cell r="F8">
            <v>39928</v>
          </cell>
          <cell r="G8" t="str">
            <v>KILIÇASLAN İYİCAN</v>
          </cell>
          <cell r="H8" t="str">
            <v>ALİ AKÇAY</v>
          </cell>
        </row>
        <row r="9">
          <cell r="C9" t="str">
            <v>Tonguç / ANTALYA</v>
          </cell>
          <cell r="D9" t="str">
            <v>Muratpaşa Mah. Tonguç Cad.568 Sok. M.Sırma Apt. No:71/1 ANTALYA</v>
          </cell>
          <cell r="E9" t="str">
            <v>MURATPAŞA</v>
          </cell>
          <cell r="F9">
            <v>39977</v>
          </cell>
          <cell r="G9" t="str">
            <v>ÜMİT KIRBAŞ</v>
          </cell>
          <cell r="H9" t="str">
            <v>ALİ AKÇAY</v>
          </cell>
        </row>
        <row r="10">
          <cell r="C10" t="str">
            <v>Güzeloba / ANTALYA</v>
          </cell>
          <cell r="D10" t="str">
            <v>Güzeloba Mah. Havaalanı Cad. Kader 2 Sok. Hasibe Köse Apt. No:2 Güzeloba  Muratpaşa/ ANTALYA</v>
          </cell>
          <cell r="E10" t="str">
            <v>MURATPAŞA</v>
          </cell>
          <cell r="F10">
            <v>40085</v>
          </cell>
          <cell r="G10" t="str">
            <v>ÇAĞRI YALÇIN</v>
          </cell>
          <cell r="H10" t="str">
            <v>VELİ GÖK</v>
          </cell>
        </row>
        <row r="11">
          <cell r="C11" t="str">
            <v>Perge Bulvarı / ANTALYA</v>
          </cell>
          <cell r="D11" t="str">
            <v>Meydan Kavağı Mah. Perge Bulvarı.Gündoğdu sitesi No:20/3-4 ANTALYA</v>
          </cell>
          <cell r="E11" t="str">
            <v>MURATPAŞA</v>
          </cell>
          <cell r="F11">
            <v>40221</v>
          </cell>
          <cell r="G11" t="str">
            <v>TUĞÇE KOCABAŞ</v>
          </cell>
          <cell r="H11" t="str">
            <v>VELİ GÖK</v>
          </cell>
        </row>
        <row r="12">
          <cell r="C12" t="str">
            <v>Çağlayan Mah. / ANTALYA</v>
          </cell>
          <cell r="D12" t="str">
            <v>Çağlayan Mah. Bülent Ecevit Bulvarı.2093 Sok. Çam Sitesi.D Blok.No:2/1 ANTALYA</v>
          </cell>
          <cell r="E12" t="str">
            <v>MURATPAŞA</v>
          </cell>
          <cell r="F12">
            <v>40325</v>
          </cell>
          <cell r="G12" t="str">
            <v>ÇAĞRI YALÇIN</v>
          </cell>
          <cell r="H12" t="str">
            <v>VELİ GÖK</v>
          </cell>
        </row>
        <row r="13">
          <cell r="C13" t="str">
            <v>Yıldız Muratpaşa Antalya</v>
          </cell>
          <cell r="D13" t="str">
            <v>Yıldız Mh. Piri Reis Cd. No:56 Muratpaşa ANTALYA</v>
          </cell>
          <cell r="E13" t="str">
            <v>MURATPAŞA</v>
          </cell>
          <cell r="F13">
            <v>40436</v>
          </cell>
          <cell r="G13" t="str">
            <v>ÖZKAN DEMİR</v>
          </cell>
          <cell r="H13" t="str">
            <v>ALİ AKÇAY</v>
          </cell>
        </row>
        <row r="14">
          <cell r="C14" t="str">
            <v>Muhtarlık Muratpaşa/Antalya</v>
          </cell>
          <cell r="D14" t="str">
            <v>Gebizli mahallesi, İbni Sina Caddesi, Gebizli Muhtarlık Karşısı No:52A Muratpaşa/Antalya</v>
          </cell>
          <cell r="E14" t="str">
            <v>MURATPAŞA</v>
          </cell>
          <cell r="F14">
            <v>45503</v>
          </cell>
          <cell r="G14" t="str">
            <v>DOĞAN İSTEMİHAN</v>
          </cell>
          <cell r="H14" t="str">
            <v>GİZEM TOSUN</v>
          </cell>
        </row>
        <row r="15">
          <cell r="C15" t="str">
            <v>Termessos Muratpaşa Antalya</v>
          </cell>
          <cell r="D15" t="str">
            <v>Mehmetçik Mahallesi Termessos Bulvarı No: 15 A Muratpaşa Antalya ( 1729977379 )</v>
          </cell>
          <cell r="E15" t="str">
            <v>MURATPAŞA</v>
          </cell>
          <cell r="F15">
            <v>42810</v>
          </cell>
          <cell r="G15" t="str">
            <v>DOĞAN İSTEMİHAN</v>
          </cell>
          <cell r="H15" t="str">
            <v>GİZEM TOSUN</v>
          </cell>
        </row>
        <row r="16">
          <cell r="C16" t="str">
            <v>Deniz Muratpaşa Antalya</v>
          </cell>
          <cell r="D16" t="str">
            <v>Deniz Mh. 122 Sk. Sedef Apt.No :8/ 1-2 Muratpaşa ANTALYA</v>
          </cell>
          <cell r="E16" t="str">
            <v>MURATPAŞA</v>
          </cell>
          <cell r="F16">
            <v>40600</v>
          </cell>
          <cell r="G16" t="str">
            <v>İBRAHİM DURBALİ</v>
          </cell>
          <cell r="H16" t="str">
            <v>ALİ AKÇAY</v>
          </cell>
        </row>
        <row r="17">
          <cell r="C17" t="str">
            <v>Yeşildere Muratpaşa Antalya</v>
          </cell>
          <cell r="D17" t="str">
            <v>Yeşildere Mah. 2830 Sok. No: 40 A Muratpaşa Antalya (1671479929)</v>
          </cell>
          <cell r="E17" t="str">
            <v>MURATPAŞA</v>
          </cell>
          <cell r="F17">
            <v>43396</v>
          </cell>
          <cell r="G17" t="str">
            <v>DOĞAN İSTEMİHAN</v>
          </cell>
          <cell r="H17" t="str">
            <v>GİZEM TOSUN</v>
          </cell>
        </row>
        <row r="18">
          <cell r="C18" t="str">
            <v>Bahçelievler Muratpaşa Antalya</v>
          </cell>
          <cell r="D18" t="str">
            <v>Varlık Mh. 175 Sk. No:4 A-B Muratpaşa ANTALYA</v>
          </cell>
          <cell r="E18" t="str">
            <v>MURATPAŞA</v>
          </cell>
          <cell r="F18">
            <v>40732</v>
          </cell>
          <cell r="G18" t="str">
            <v>İBRAHİM DURBALİ</v>
          </cell>
          <cell r="H18" t="str">
            <v>ALİ AKÇAY</v>
          </cell>
        </row>
        <row r="19">
          <cell r="C19" t="str">
            <v>Dutlubahçe / ANTALYA</v>
          </cell>
          <cell r="D19" t="str">
            <v>Dutlubahçe Mah.Fatih Cad.746 Sok.No:5 Muratpaşa / Antalya</v>
          </cell>
          <cell r="E19" t="str">
            <v>MURATPAŞA</v>
          </cell>
          <cell r="F19">
            <v>41162</v>
          </cell>
          <cell r="G19" t="str">
            <v>NESLİHAN ÖZYURT</v>
          </cell>
          <cell r="H19" t="str">
            <v>ALİ AKÇAY</v>
          </cell>
        </row>
        <row r="20">
          <cell r="C20" t="str">
            <v>Zeytinpark Muratpaşa Antalya</v>
          </cell>
          <cell r="D20" t="str">
            <v>Gebizli Mah. Aşık Veysel Cad. No:36 /1AB-36 /1AC Muratpaşa Antalya (3127326548) (2878940622)</v>
          </cell>
          <cell r="E20" t="str">
            <v>MURATPAŞA</v>
          </cell>
          <cell r="F20">
            <v>44880</v>
          </cell>
          <cell r="G20" t="str">
            <v>DOĞAN İSTEMİHAN</v>
          </cell>
          <cell r="H20" t="str">
            <v>GİZEM TOSUN</v>
          </cell>
        </row>
        <row r="21">
          <cell r="C21" t="str">
            <v>Bulvar Antalya Muratpaşa</v>
          </cell>
          <cell r="D21" t="str">
            <v>kızılarık mahallesi Köroğlu bulvarı no:3A Muratpaşa/antalya</v>
          </cell>
          <cell r="E21" t="str">
            <v>MURATPAŞA</v>
          </cell>
          <cell r="F21">
            <v>45930</v>
          </cell>
          <cell r="G21" t="str">
            <v>FATİH SERT</v>
          </cell>
          <cell r="H21" t="str">
            <v>GİZEM TOSUN</v>
          </cell>
        </row>
        <row r="22">
          <cell r="C22" t="str">
            <v>Üçgen Mah  / ANTALYA</v>
          </cell>
          <cell r="D22" t="str">
            <v>Üçgen Mah. 104 Sok. Doğan Apt. No : 1 / 3-4  Muratpaşa / ANTALYA</v>
          </cell>
          <cell r="E22" t="str">
            <v>MURATPAŞA</v>
          </cell>
          <cell r="F22">
            <v>41454</v>
          </cell>
          <cell r="G22" t="str">
            <v>ÜMİT KIRBAŞ</v>
          </cell>
          <cell r="H22" t="str">
            <v>ALİ AKÇAY</v>
          </cell>
        </row>
        <row r="23">
          <cell r="C23" t="str">
            <v>İmam Hatip Muratpaşa Antalya</v>
          </cell>
          <cell r="D23" t="str">
            <v>Kızılarık Mah. 2773 Sok. Dervişoğlu 6 Apt. Altı Sit. C Blok Apt.  No:9 A- 9 B Muratpaşa Antalya</v>
          </cell>
          <cell r="E23" t="str">
            <v>MURATPAŞA</v>
          </cell>
          <cell r="F23">
            <v>43523</v>
          </cell>
          <cell r="G23" t="str">
            <v>FATİH SERT</v>
          </cell>
          <cell r="H23" t="str">
            <v>GİZEM TOSUN</v>
          </cell>
        </row>
        <row r="24">
          <cell r="C24" t="str">
            <v>Muratpaşa / ANTALYA</v>
          </cell>
          <cell r="D24" t="str">
            <v>Muratpaşa Mah. 562 Sok. Aydıcan   Apt 2 No : 45 / A - B Muratpaşa ANTALYA</v>
          </cell>
          <cell r="E24" t="str">
            <v>MURATPAŞA</v>
          </cell>
          <cell r="F24">
            <v>41488</v>
          </cell>
          <cell r="G24" t="str">
            <v>ÜMİT KIRBAŞ</v>
          </cell>
          <cell r="H24" t="str">
            <v>ALİ AKÇAY</v>
          </cell>
        </row>
        <row r="25">
          <cell r="C25" t="str">
            <v>Cumhuriyet Muratpaşa Antalya</v>
          </cell>
          <cell r="D25" t="str">
            <v>Cumhuriyet Mah. 625 Sok. Özyörük Apt. No : 16 / 1 Muratpaşa / ANTALYA</v>
          </cell>
          <cell r="E25" t="str">
            <v>MURATPAŞA</v>
          </cell>
          <cell r="F25">
            <v>41514</v>
          </cell>
          <cell r="G25" t="str">
            <v>NESLİHAN ÖZYURT</v>
          </cell>
          <cell r="H25" t="str">
            <v>ALİ AKÇAY</v>
          </cell>
        </row>
        <row r="26">
          <cell r="C26" t="str">
            <v>Karacaoğlan / ANTALYA</v>
          </cell>
          <cell r="D26" t="str">
            <v>Etiler Mah. Karacaoğlan Cad. No:100 /1-2 nolu Dükkan Muratpaşa / ANTALYA</v>
          </cell>
          <cell r="E26" t="str">
            <v>MURATPAŞA</v>
          </cell>
          <cell r="F26">
            <v>41619</v>
          </cell>
          <cell r="G26" t="str">
            <v>FATİH SERT</v>
          </cell>
          <cell r="H26" t="str">
            <v>GİZEM TOSUN</v>
          </cell>
        </row>
        <row r="27">
          <cell r="C27" t="str">
            <v>Orduevi / ANTALYA</v>
          </cell>
          <cell r="D27" t="str">
            <v>Elmalı Mah.25.Sok.Esat Uluhan İşhanı No:9/A Muratpaşa/ANTALYA</v>
          </cell>
          <cell r="E27" t="str">
            <v>MURATPAŞA</v>
          </cell>
          <cell r="F27">
            <v>41620</v>
          </cell>
          <cell r="G27" t="str">
            <v>İBRAHİM DURBALİ</v>
          </cell>
          <cell r="H27" t="str">
            <v>ALİ AKÇAY</v>
          </cell>
        </row>
        <row r="28">
          <cell r="C28" t="str">
            <v>Pamir Muratpaşa Antalya</v>
          </cell>
          <cell r="D28" t="str">
            <v>Bahçelievler Mh. Pamir Cd. İbrahim Uzun Apt. No : 12 / 11 Muratpaşa ANTALYA</v>
          </cell>
          <cell r="E28" t="str">
            <v>MURATPAŞA</v>
          </cell>
          <cell r="F28">
            <v>41632</v>
          </cell>
          <cell r="G28" t="str">
            <v>İBRAHİM DURBALİ</v>
          </cell>
          <cell r="H28" t="str">
            <v>ALİ AKÇAY</v>
          </cell>
        </row>
        <row r="29">
          <cell r="C29" t="str">
            <v>Güneş Kepez Antalya</v>
          </cell>
          <cell r="D29" t="str">
            <v>Güneş Mh. Osman Yüksel Serden Geçti Cd. Karakuş Apt. No:112 10-11 Kepez ANTALYA</v>
          </cell>
          <cell r="E29" t="str">
            <v>KEPEZ</v>
          </cell>
          <cell r="F29">
            <v>41719</v>
          </cell>
          <cell r="G29" t="str">
            <v>KERİM YÜREKLİ</v>
          </cell>
          <cell r="H29" t="str">
            <v>VELİ GÖK</v>
          </cell>
        </row>
        <row r="30">
          <cell r="C30" t="str">
            <v>Kızılarık / ANTALYA</v>
          </cell>
          <cell r="D30" t="str">
            <v>Konuksever Mah.Kızılırmak Cad.Solmaz İnş.Uğur Ömür Apt.No:113 A-B ANTALYA</v>
          </cell>
          <cell r="E30" t="str">
            <v>MURATPAŞA</v>
          </cell>
          <cell r="F30">
            <v>40590</v>
          </cell>
          <cell r="G30" t="str">
            <v>FATİH SERT</v>
          </cell>
          <cell r="H30" t="str">
            <v>GİZEM TOSUN</v>
          </cell>
        </row>
        <row r="31">
          <cell r="C31" t="str">
            <v>Mehmet Akif Kepez Antalya</v>
          </cell>
          <cell r="D31" t="str">
            <v>Mehmet Akif Ersoy Mh. Osman Yüksel Serdengeçti Cd. Kutlu Apt.No:27/A Kepez ANTALYA</v>
          </cell>
          <cell r="E31" t="str">
            <v>KEPEZ</v>
          </cell>
          <cell r="F31">
            <v>41766</v>
          </cell>
          <cell r="G31" t="str">
            <v>KERİM YÜREKLİ</v>
          </cell>
          <cell r="H31" t="str">
            <v>VELİ GÖK</v>
          </cell>
        </row>
        <row r="32">
          <cell r="C32" t="str">
            <v>İsmail Hakkı Kaya Kepez Antalya</v>
          </cell>
          <cell r="D32" t="str">
            <v>Teomanpaşa Mh. 2282 Sk. No:4/5-6 Kepez  ANTALYA</v>
          </cell>
          <cell r="E32" t="str">
            <v>KEPEZ</v>
          </cell>
          <cell r="F32">
            <v>41864</v>
          </cell>
          <cell r="G32" t="str">
            <v>KADİR ÇETİN</v>
          </cell>
          <cell r="H32" t="str">
            <v>VELİ GÖK</v>
          </cell>
        </row>
        <row r="33">
          <cell r="C33" t="str">
            <v>Hastane Cd. Kepez Antalya</v>
          </cell>
          <cell r="D33" t="str">
            <v>Hüsnü Karakaş Mh. Hastane Cd. Ünzile Sert Apt. No:82/7-8 Kepez ANTALYA</v>
          </cell>
          <cell r="E33" t="str">
            <v>KEPEZ</v>
          </cell>
          <cell r="F33">
            <v>41898</v>
          </cell>
          <cell r="G33" t="str">
            <v>SALİH SERKAN ERÇİN</v>
          </cell>
          <cell r="H33" t="str">
            <v>VELİ GÖK</v>
          </cell>
        </row>
        <row r="34">
          <cell r="C34" t="str">
            <v>Köroğlu Muratpaşa Antalya</v>
          </cell>
          <cell r="D34" t="str">
            <v>Yenigün Mah. Köroğlu Blv. Site St. B Blok No: 48B / A Muratpaşa ANTALYA ( 2866637248 )</v>
          </cell>
          <cell r="E34" t="str">
            <v>MURATPAŞA</v>
          </cell>
          <cell r="F34">
            <v>42790</v>
          </cell>
          <cell r="G34" t="str">
            <v>FATİH SERT</v>
          </cell>
          <cell r="H34" t="str">
            <v>GİZEM TOSUN</v>
          </cell>
        </row>
        <row r="35">
          <cell r="C35" t="str">
            <v>Ali Çetinkaya Cd./Muratpaşa/ANTALYA</v>
          </cell>
          <cell r="D35" t="str">
            <v>Çaybaşı Mah. 1351 sok. No:2 Feride Türkmen Apt. Muratpaşa / ANTALYA</v>
          </cell>
          <cell r="E35" t="str">
            <v>MURATPAŞA</v>
          </cell>
          <cell r="F35">
            <v>42054</v>
          </cell>
          <cell r="G35" t="str">
            <v>ÜMİT KAAN ŞAHİN</v>
          </cell>
          <cell r="H35" t="str">
            <v>ŞADAN YURDAKUL</v>
          </cell>
        </row>
        <row r="36">
          <cell r="C36" t="str">
            <v>Şahinbey Kepez Antalya</v>
          </cell>
          <cell r="D36" t="str">
            <v>Varsak Menderes Mh. Şahin Bey Cd. No:3 /2-3 Kepez ANTALYA</v>
          </cell>
          <cell r="E36" t="str">
            <v>KEPEZ</v>
          </cell>
          <cell r="F36">
            <v>42054</v>
          </cell>
          <cell r="G36" t="str">
            <v>SELİM GÜNDÜZ</v>
          </cell>
          <cell r="H36" t="str">
            <v>ŞADAN YURDAKUL</v>
          </cell>
        </row>
        <row r="37">
          <cell r="C37" t="str">
            <v>Muammer Aksoy Kepez Antalya</v>
          </cell>
          <cell r="D37" t="str">
            <v>Habipler Mh. Muammer Aksoy Cd. No: 9 /A-B-C  Kepez ANTALYA</v>
          </cell>
          <cell r="E37" t="str">
            <v>KEPEZ</v>
          </cell>
          <cell r="F37">
            <v>42073</v>
          </cell>
          <cell r="G37" t="str">
            <v>SELİM GÜNDÜZ</v>
          </cell>
          <cell r="H37" t="str">
            <v>ŞADAN YURDAKUL</v>
          </cell>
        </row>
        <row r="38">
          <cell r="C38" t="str">
            <v>Ulus Kepez Antalya</v>
          </cell>
          <cell r="D38" t="str">
            <v>Ulus Mh. Orhan Veli Cd. Taşköprü Apt. No:22 /A Kepez ANTALYA</v>
          </cell>
          <cell r="E38" t="str">
            <v>KEPEZ</v>
          </cell>
          <cell r="F38">
            <v>42090</v>
          </cell>
          <cell r="G38" t="str">
            <v>FİKRET HOCA</v>
          </cell>
          <cell r="H38" t="str">
            <v>ALİ AKÇAY</v>
          </cell>
        </row>
        <row r="39">
          <cell r="C39" t="str">
            <v>Abdi ipekçi cd./Muratpaşa / ANTALYA</v>
          </cell>
          <cell r="D39" t="str">
            <v>Muratpaşa Mah. 565 sokak No:18 25-26-27 Nolu dükkanlar Muratpaşa / ANTALYA</v>
          </cell>
          <cell r="E39" t="str">
            <v>MURATPAŞA</v>
          </cell>
          <cell r="F39">
            <v>42108</v>
          </cell>
          <cell r="G39" t="str">
            <v>ÜMİT KIRBAŞ</v>
          </cell>
          <cell r="H39" t="str">
            <v>ALİ AKÇAY</v>
          </cell>
        </row>
        <row r="40">
          <cell r="C40" t="str">
            <v>Mevlana / ANTALYA</v>
          </cell>
          <cell r="D40" t="str">
            <v>Etiler Mah. Evliya Çelebi Cad. Küçükbarut Apt. No:4/1 Nolu Dükkan Muratpaşa / ANTALYA</v>
          </cell>
          <cell r="E40" t="str">
            <v>MURATPAŞA</v>
          </cell>
          <cell r="F40">
            <v>41363</v>
          </cell>
          <cell r="G40" t="str">
            <v>FATİH SERT</v>
          </cell>
          <cell r="H40" t="str">
            <v>GİZEM TOSUN</v>
          </cell>
        </row>
        <row r="41">
          <cell r="C41" t="str">
            <v>Demirgül Kepez Antalya</v>
          </cell>
          <cell r="D41" t="str">
            <v>Düdenbaşı Mh. 2336 Sk Altınkaya Apt. No:20/A-B  Kepez  ANTALYA</v>
          </cell>
          <cell r="E41" t="str">
            <v>KEPEZ</v>
          </cell>
          <cell r="F41">
            <v>42137</v>
          </cell>
          <cell r="G41" t="str">
            <v>RAMAZAN ÇATALTAŞ</v>
          </cell>
          <cell r="H41" t="str">
            <v>ŞADAN YURDAKUL</v>
          </cell>
        </row>
        <row r="42">
          <cell r="C42" t="str">
            <v>Güvenlik Muratpaşa Antalya</v>
          </cell>
          <cell r="D42" t="str">
            <v>Güvenlik Mh. 261 Sk. 3.Pazarcı Apt. No:3 /A-B Muratpaşa ANTALYA</v>
          </cell>
          <cell r="E42" t="str">
            <v>MURATPAŞA</v>
          </cell>
          <cell r="F42">
            <v>42185</v>
          </cell>
          <cell r="G42" t="str">
            <v>ÖZKAN DEMİR</v>
          </cell>
          <cell r="H42" t="str">
            <v>ALİ AKÇAY</v>
          </cell>
        </row>
        <row r="43">
          <cell r="C43" t="str">
            <v>Yanyol Muratpaşa Antalya</v>
          </cell>
          <cell r="D43" t="str">
            <v>Kızılarık Mahallesi Gazi Bulvarı no:286 A -286 B Muratpaşa Antalya (1917470476-4094201656)</v>
          </cell>
          <cell r="E43" t="str">
            <v>MURATPAŞA</v>
          </cell>
          <cell r="F43">
            <v>43004</v>
          </cell>
          <cell r="G43" t="str">
            <v>FATİH SERT</v>
          </cell>
          <cell r="H43" t="str">
            <v>GİZEM TOSUN</v>
          </cell>
        </row>
        <row r="44">
          <cell r="C44" t="str">
            <v>Zafer Dokuma Kepez Antalya</v>
          </cell>
          <cell r="D44" t="str">
            <v>Zafer Mh. 2612 Sk. No:19 Kepez ANTALYA</v>
          </cell>
          <cell r="E44" t="str">
            <v>KEPEZ</v>
          </cell>
          <cell r="F44">
            <v>42231</v>
          </cell>
          <cell r="G44" t="str">
            <v>FİKRET HOCA</v>
          </cell>
          <cell r="H44" t="str">
            <v>ALİ AKÇAY</v>
          </cell>
        </row>
        <row r="45">
          <cell r="C45" t="str">
            <v>Hüsnü Karakaş Kepez Antalya</v>
          </cell>
          <cell r="D45" t="str">
            <v>Hüsnü Karakaş Mh. Güneş Cd. A1 Apt. No: 128 C  Kepez  ANTALYA</v>
          </cell>
          <cell r="E45" t="str">
            <v>KEPEZ</v>
          </cell>
          <cell r="F45">
            <v>42282</v>
          </cell>
          <cell r="G45" t="str">
            <v>YUNUS BAYSAL</v>
          </cell>
          <cell r="H45" t="str">
            <v>ŞADAN YURDAKUL</v>
          </cell>
        </row>
        <row r="46">
          <cell r="C46" t="str">
            <v>Düden Şelalesi Kepez Antalya</v>
          </cell>
          <cell r="D46" t="str">
            <v>Şelale Mh. 21.Cd. No:26A / 26B Kepez ANTALYA</v>
          </cell>
          <cell r="E46" t="str">
            <v>KEPEZ</v>
          </cell>
          <cell r="F46">
            <v>42287</v>
          </cell>
          <cell r="G46" t="str">
            <v>TUĞBA ALDI</v>
          </cell>
          <cell r="H46" t="str">
            <v>VELİ GÖK</v>
          </cell>
        </row>
        <row r="47">
          <cell r="C47" t="str">
            <v>Altınova  Kepez Antalya</v>
          </cell>
          <cell r="D47" t="str">
            <v>Altınova Orta Mh. Çağan Sk. No: 6B / 1-2-3-4 Kepez ANTALYA</v>
          </cell>
          <cell r="E47" t="str">
            <v>KEPEZ</v>
          </cell>
          <cell r="F47">
            <v>42313</v>
          </cell>
          <cell r="G47" t="str">
            <v>SİNEM ÖZKAYA</v>
          </cell>
          <cell r="H47" t="str">
            <v>ŞADAN YURDAKUL</v>
          </cell>
        </row>
        <row r="48">
          <cell r="C48" t="str">
            <v>Vali Recep Yazıcıoğlu Kepez Antalya</v>
          </cell>
          <cell r="D48" t="str">
            <v>Gazi Mh. Vali Recep Yazıcıoğlu Cd. No: 13 A Kepez ANTALYA</v>
          </cell>
          <cell r="E48" t="str">
            <v>KEPEZ</v>
          </cell>
          <cell r="F48">
            <v>42361</v>
          </cell>
          <cell r="G48" t="str">
            <v>YUNUS BAYSAL</v>
          </cell>
          <cell r="H48" t="str">
            <v>ŞADAN YURDAKUL</v>
          </cell>
        </row>
        <row r="49">
          <cell r="C49" t="str">
            <v>Altındağ Muratpaşa Antalya</v>
          </cell>
          <cell r="D49" t="str">
            <v>Altındağ Mh. 164 Sk. Ceylan Apt. No:4A-4B-6E-6F Muratpaşa ANTALYA</v>
          </cell>
          <cell r="E49" t="str">
            <v>MURATPAŞA</v>
          </cell>
          <cell r="F49">
            <v>42367</v>
          </cell>
          <cell r="G49" t="str">
            <v>ÖZKAN DEMİR</v>
          </cell>
          <cell r="H49" t="str">
            <v>ALİ AKÇAY</v>
          </cell>
        </row>
        <row r="50">
          <cell r="C50" t="str">
            <v>Cahit Sıtkı Muratpaşa Antalya</v>
          </cell>
          <cell r="D50" t="str">
            <v>Yenigün Mah. 1048 Sok. No:28 A Muratpaşa Antalya (5210928676)</v>
          </cell>
          <cell r="E50" t="str">
            <v>MURATPAŞA</v>
          </cell>
          <cell r="F50">
            <v>44308</v>
          </cell>
          <cell r="G50" t="str">
            <v>İSMAİL UĞUR KAYA</v>
          </cell>
          <cell r="H50" t="str">
            <v>GİZEM TOSUN</v>
          </cell>
        </row>
        <row r="51">
          <cell r="C51" t="str">
            <v>Yüksekalan Muratpaşa Antalya</v>
          </cell>
          <cell r="D51" t="str">
            <v>Yüksekalan Mah. 500 Sokak No:10A-10B  Muratpaşa Antalya ( 1329191413 - 3581218371)</v>
          </cell>
          <cell r="E51" t="str">
            <v>MURATPAŞA</v>
          </cell>
          <cell r="F51">
            <v>42412</v>
          </cell>
          <cell r="G51" t="str">
            <v>ÜMİT KAAN ŞAHİN</v>
          </cell>
          <cell r="H51" t="str">
            <v>ŞADAN YURDAKUL</v>
          </cell>
        </row>
        <row r="52">
          <cell r="C52" t="str">
            <v>Fikri Erten Kepez Antalya</v>
          </cell>
          <cell r="D52" t="str">
            <v>Fabrikalar Mh. Fikri Erten cad. No:54A Kepez ANTALYA</v>
          </cell>
          <cell r="E52" t="str">
            <v>KEPEZ</v>
          </cell>
          <cell r="F52">
            <v>42417</v>
          </cell>
          <cell r="G52" t="str">
            <v>KILIÇASLAN İYİCAN</v>
          </cell>
          <cell r="H52" t="str">
            <v>ALİ AKÇAY</v>
          </cell>
        </row>
        <row r="53">
          <cell r="C53" t="str">
            <v>Cuma Pazarı Kepez Antalya</v>
          </cell>
          <cell r="D53" t="str">
            <v>Altınova Orta Mh. Şelale Sk No:185 A Kepez ANTALYA</v>
          </cell>
          <cell r="E53" t="str">
            <v>KEPEZ</v>
          </cell>
          <cell r="F53">
            <v>42426</v>
          </cell>
          <cell r="G53" t="str">
            <v>SİNEM ÖZKAYA</v>
          </cell>
          <cell r="H53" t="str">
            <v>ŞADAN YURDAKUL</v>
          </cell>
        </row>
        <row r="54">
          <cell r="C54" t="str">
            <v>Festival Çarşısı Muratpaşa Antalya</v>
          </cell>
          <cell r="D54" t="str">
            <v>Meydan Kavağı Mahallesi 1595 Sokak no:16 Muratpaşa Antalya   (1089129879)</v>
          </cell>
          <cell r="E54" t="str">
            <v>MURATPAŞA</v>
          </cell>
          <cell r="F54">
            <v>42448</v>
          </cell>
          <cell r="G54" t="str">
            <v>TUĞÇE KOCABAŞ</v>
          </cell>
          <cell r="H54" t="str">
            <v>VELİ GÖK</v>
          </cell>
        </row>
        <row r="55">
          <cell r="C55" t="str">
            <v>Ömer Buyrukçu Cd Kepez Antalya</v>
          </cell>
          <cell r="D55" t="str">
            <v>Güneş Mh. Ömer Buyrukçu Cd. No: 66A-66B-66C Kepez ANTALYA</v>
          </cell>
          <cell r="E55" t="str">
            <v>KEPEZ</v>
          </cell>
          <cell r="F55">
            <v>42504</v>
          </cell>
          <cell r="G55" t="str">
            <v>KERİM YÜREKLİ</v>
          </cell>
          <cell r="H55" t="str">
            <v>VELİ GÖK</v>
          </cell>
        </row>
        <row r="56">
          <cell r="C56" t="str">
            <v>Güzelbağ Muratpaşa Antalya</v>
          </cell>
          <cell r="D56" t="str">
            <v>Güzeloba mah. 2163 Sokak No:10AA -10AB Muratpaşa ANTALYA ( 2573850613 - 1053201701)</v>
          </cell>
          <cell r="E56" t="str">
            <v>MURATPAŞA</v>
          </cell>
          <cell r="F56">
            <v>42514</v>
          </cell>
          <cell r="G56" t="str">
            <v>TUĞÇE KOCABAŞ</v>
          </cell>
          <cell r="H56" t="str">
            <v>VELİ GÖK</v>
          </cell>
        </row>
        <row r="57">
          <cell r="C57" t="str">
            <v>Fener Muratpaşa Antalya</v>
          </cell>
          <cell r="D57" t="str">
            <v>Fener Mahallesi 1979 sokak Koyuncu Apartmanı no: 43B - 43C Muratpaşa Antalya</v>
          </cell>
          <cell r="E57" t="str">
            <v>MURATPAŞA</v>
          </cell>
          <cell r="F57">
            <v>42546</v>
          </cell>
          <cell r="G57" t="str">
            <v>ERDAL ARSLAN</v>
          </cell>
          <cell r="H57" t="str">
            <v>ŞADAN YURDAKUL</v>
          </cell>
        </row>
        <row r="58">
          <cell r="C58" t="str">
            <v>İbni Sina Muratpaşa Antalya</v>
          </cell>
          <cell r="D58" t="str">
            <v>Yenigün Mah. Yunus Emre Cad. No: 47 A Merkez Muratpaşa Antalya (5434758693)</v>
          </cell>
          <cell r="E58" t="str">
            <v>MURATPAŞA</v>
          </cell>
          <cell r="F58">
            <v>44173</v>
          </cell>
          <cell r="G58" t="str">
            <v>İSMAİL UĞUR KAYA</v>
          </cell>
          <cell r="H58" t="str">
            <v>GİZEM TOSUN</v>
          </cell>
        </row>
        <row r="59">
          <cell r="C59" t="str">
            <v>Sinan Mh Kepez Antalya</v>
          </cell>
          <cell r="D59" t="str">
            <v>Altınova Sinan Mh. 24.Sk. No:1 A Kepez ANTALYA</v>
          </cell>
          <cell r="E59" t="str">
            <v>KEPEZ</v>
          </cell>
          <cell r="F59">
            <v>42572</v>
          </cell>
          <cell r="G59" t="str">
            <v>SİNEM ÖZKAYA</v>
          </cell>
          <cell r="H59" t="str">
            <v>ŞADAN YURDAKUL</v>
          </cell>
        </row>
        <row r="60">
          <cell r="C60" t="str">
            <v>Sema Yazar Kepez Antalya</v>
          </cell>
          <cell r="D60" t="str">
            <v>Teomanpaşa Mh.  2216 Sk.  No:1 / 1-2 Kepez ANTALYA</v>
          </cell>
          <cell r="E60" t="str">
            <v>KEPEZ</v>
          </cell>
          <cell r="F60">
            <v>42702</v>
          </cell>
          <cell r="G60" t="str">
            <v>KADİR ÇETİN</v>
          </cell>
          <cell r="H60" t="str">
            <v>VELİ GÖK</v>
          </cell>
        </row>
        <row r="61">
          <cell r="C61" t="str">
            <v>12. Cadde Muratpaşa Antalya</v>
          </cell>
          <cell r="D61" t="str">
            <v>Meydan Kavağı  Mh. Şehitler Cd. Erüst Konutları No: 27A / 11 Muratpaşa ANTALYA (2289749281)</v>
          </cell>
          <cell r="E61" t="str">
            <v>MURATPAŞA</v>
          </cell>
          <cell r="F61">
            <v>42780</v>
          </cell>
          <cell r="G61" t="str">
            <v>ABDULLAH BAY</v>
          </cell>
          <cell r="H61" t="str">
            <v>VELİ GÖK</v>
          </cell>
        </row>
        <row r="62">
          <cell r="C62" t="str">
            <v>Kayıkent Muratpaşa Antalya</v>
          </cell>
          <cell r="D62" t="str">
            <v>Kızıltoprak Mah. 914 sokak No:18 A Muratpaşa / ANTALYA (2978536627)</v>
          </cell>
          <cell r="E62" t="str">
            <v>MURATPAŞA</v>
          </cell>
          <cell r="F62">
            <v>42378</v>
          </cell>
          <cell r="G62" t="str">
            <v>İSMAİL UĞUR KAYA</v>
          </cell>
          <cell r="H62" t="str">
            <v>GİZEM TOSUN</v>
          </cell>
        </row>
        <row r="63">
          <cell r="C63" t="str">
            <v>Soğuksu Muratpaşa Antalya</v>
          </cell>
          <cell r="D63" t="str">
            <v>Soğuksu Mh. Toroslar Cd. No:33A Muratpaşa ANTALYA</v>
          </cell>
          <cell r="E63" t="str">
            <v>MURATPAŞA</v>
          </cell>
          <cell r="F63">
            <v>42796</v>
          </cell>
          <cell r="G63" t="str">
            <v>NESLİHAN ÖZYURT</v>
          </cell>
          <cell r="H63" t="str">
            <v>ALİ AKÇAY</v>
          </cell>
        </row>
        <row r="64">
          <cell r="C64" t="str">
            <v>Meydan Muratpaşa Antalya</v>
          </cell>
          <cell r="D64" t="str">
            <v>Kızıltoprak Mah. 919 Sok. A Blok Apt. No:20 A/A Muratpaşa Antalya (1874573791)</v>
          </cell>
          <cell r="E64" t="str">
            <v>MURATPAŞA</v>
          </cell>
          <cell r="F64">
            <v>43504</v>
          </cell>
          <cell r="G64" t="str">
            <v>İSMAİL UĞUR KAYA</v>
          </cell>
          <cell r="H64" t="str">
            <v>GİZEM TOSUN</v>
          </cell>
        </row>
        <row r="65">
          <cell r="C65" t="str">
            <v>Mithatpaşa Kepez Antalya</v>
          </cell>
          <cell r="D65" t="str">
            <v>Ulus Mh. Mithatpaşa Cd. No: 51/A-B Kepez ANTALYA</v>
          </cell>
          <cell r="E65" t="str">
            <v>KEPEZ</v>
          </cell>
          <cell r="F65">
            <v>42843</v>
          </cell>
          <cell r="G65" t="str">
            <v>FİKRET HOCA</v>
          </cell>
          <cell r="H65" t="str">
            <v>ALİ AKÇAY</v>
          </cell>
        </row>
        <row r="66">
          <cell r="C66" t="str">
            <v>Necip Fazıl Kepez Antalya</v>
          </cell>
          <cell r="D66" t="str">
            <v>Güneş Mh Güneş Cd No: 54 A Kepez ANTALYA</v>
          </cell>
          <cell r="E66" t="str">
            <v>KEPEZ</v>
          </cell>
          <cell r="F66">
            <v>42878</v>
          </cell>
          <cell r="G66" t="str">
            <v>KADİR ÇETİN</v>
          </cell>
          <cell r="H66" t="str">
            <v>VELİ GÖK</v>
          </cell>
        </row>
        <row r="67">
          <cell r="C67" t="str">
            <v>Kaplan Sk. Muratpaşa Antalya</v>
          </cell>
          <cell r="D67" t="str">
            <v>Güzeloba Mah. Havaalanı Cd. A blok  No:61/A Muratpaşa Antalya ( 2764943649 )</v>
          </cell>
          <cell r="E67" t="str">
            <v>MURATPAŞA</v>
          </cell>
          <cell r="F67">
            <v>42880</v>
          </cell>
          <cell r="G67" t="str">
            <v>ÇAĞRI YALÇIN</v>
          </cell>
          <cell r="H67" t="str">
            <v>VELİ GÖK</v>
          </cell>
        </row>
        <row r="68">
          <cell r="C68" t="str">
            <v>Çatalköprü Cd. Muratpaşa Antalya</v>
          </cell>
          <cell r="D68" t="str">
            <v>Muratpaşa Mh. Çatalköprü Cd. Yılmaz Apt. No: 31 A-B Muratpaşa Antalya ( 1785100700 – 1777600956 )</v>
          </cell>
          <cell r="E68" t="str">
            <v>MURATPAŞA</v>
          </cell>
          <cell r="F68">
            <v>42977</v>
          </cell>
          <cell r="G68" t="str">
            <v>ÜMİT KIRBAŞ</v>
          </cell>
          <cell r="H68" t="str">
            <v>ALİ AKÇAY</v>
          </cell>
        </row>
        <row r="69">
          <cell r="C69" t="str">
            <v>Pazaryeri Muratpaşa Antalya</v>
          </cell>
          <cell r="D69" t="str">
            <v>Kızıltoprak Mah. 952 Sok. B Blok Apt. No:15   BA- BB  Muratpaşa Antalya  (2980338186-2729846978 )</v>
          </cell>
          <cell r="E69" t="str">
            <v>MURATPAŞA</v>
          </cell>
          <cell r="F69">
            <v>43147</v>
          </cell>
          <cell r="G69" t="str">
            <v>İSMAİL UĞUR KAYA</v>
          </cell>
          <cell r="H69" t="str">
            <v>GİZEM TOSUN</v>
          </cell>
        </row>
        <row r="70">
          <cell r="C70" t="str">
            <v>Şehit Ercan Cd. Muratpaşa Antalya</v>
          </cell>
          <cell r="D70" t="str">
            <v>Kızıltoprak Mah. Şehit Ercan Cd.  No:50 A- 50 B  Muratpaşa Antalya (1962471486 – 3705713620 )</v>
          </cell>
          <cell r="E70" t="str">
            <v>MURATPAŞA</v>
          </cell>
          <cell r="F70">
            <v>42986</v>
          </cell>
          <cell r="G70" t="str">
            <v>İSMAİL UĞUR KAYA</v>
          </cell>
          <cell r="H70" t="str">
            <v>GİZEM TOSUN</v>
          </cell>
        </row>
        <row r="71">
          <cell r="C71" t="str">
            <v>Yenigün / ANTALYA</v>
          </cell>
          <cell r="D71" t="str">
            <v>Yenigün Mah. Yunus Emre Cad. Yılmaz Apt. Altı No:1/A  Muratpaşa Antalya</v>
          </cell>
          <cell r="E71" t="str">
            <v>MURATPAŞA</v>
          </cell>
          <cell r="F71">
            <v>39580</v>
          </cell>
          <cell r="G71" t="str">
            <v>İSMAİL UĞUR KAYA</v>
          </cell>
          <cell r="H71" t="str">
            <v>GİZEM TOSUN</v>
          </cell>
        </row>
        <row r="72">
          <cell r="C72" t="str">
            <v>Spotçular Çarşısı Muratpaşa Antalya</v>
          </cell>
          <cell r="D72" t="str">
            <v>Deniz Mh. 122.Sokak Halis Yeşilyurt Apt. No: 41 A/A Muratpaşa ANTALYA</v>
          </cell>
          <cell r="E72" t="str">
            <v>MURATPAŞA</v>
          </cell>
          <cell r="F72">
            <v>43008</v>
          </cell>
          <cell r="G72" t="str">
            <v>İBRAHİM DURBALİ</v>
          </cell>
          <cell r="H72" t="str">
            <v>ALİ AKÇAY</v>
          </cell>
        </row>
        <row r="73">
          <cell r="C73" t="str">
            <v>Kamile Çömlekçi Muratpaşa Antalya</v>
          </cell>
          <cell r="D73" t="str">
            <v>Yüksekalan Mah. 485. Sokak No: 16 A Muratpaşa Antalya ( 3504117791 )</v>
          </cell>
          <cell r="E73" t="str">
            <v>MURATPAŞA</v>
          </cell>
          <cell r="F73">
            <v>43036</v>
          </cell>
          <cell r="G73" t="str">
            <v>ÜMİT KAAN ŞAHİN</v>
          </cell>
          <cell r="H73" t="str">
            <v>ŞADAN YURDAKUL</v>
          </cell>
        </row>
        <row r="74">
          <cell r="C74" t="str">
            <v>Örnekköy Muratpaşa Antalya</v>
          </cell>
          <cell r="D74" t="str">
            <v>Güzeloba Mah. 2298 Sokak Elmas Apt. No:12 A Muratpaşa / Antalya ( 1462311257)</v>
          </cell>
          <cell r="E74" t="str">
            <v>MURATPAŞA</v>
          </cell>
          <cell r="F74">
            <v>43081</v>
          </cell>
          <cell r="G74" t="str">
            <v>EMRAH AKINCI</v>
          </cell>
          <cell r="H74" t="str">
            <v>ALİ AKÇAY</v>
          </cell>
        </row>
        <row r="75">
          <cell r="C75" t="str">
            <v>Yunus Emre Cad./Muratpaşa/ANTALYA</v>
          </cell>
          <cell r="D75" t="str">
            <v>Gebizli Mah. Yunus Emre Cad. Yağmur Konutları 2 D Blok No:2 Muratpaşa / ANTALYA</v>
          </cell>
          <cell r="E75" t="str">
            <v>MURATPAŞA</v>
          </cell>
          <cell r="F75">
            <v>41982</v>
          </cell>
          <cell r="G75" t="str">
            <v>İSMAİL UĞUR KAYA</v>
          </cell>
          <cell r="H75" t="str">
            <v>GİZEM TOSUN</v>
          </cell>
        </row>
        <row r="76">
          <cell r="C76" t="str">
            <v>Balbey Muratpaşa Antalya</v>
          </cell>
          <cell r="D76" t="str">
            <v>Balbey mah.405 sokak Mehmet Ali Gönen İş Merkezi no :1 Muratpaşa /Antalya</v>
          </cell>
          <cell r="E76" t="str">
            <v>MURATPAŞA</v>
          </cell>
          <cell r="F76">
            <v>45103</v>
          </cell>
          <cell r="G76" t="str">
            <v>İSMAİL YAZGAN</v>
          </cell>
          <cell r="H76" t="str">
            <v>GİZEM TOSUN</v>
          </cell>
        </row>
        <row r="77">
          <cell r="C77" t="str">
            <v>Rauf Denktaş Muratpaşa Antalya</v>
          </cell>
          <cell r="D77" t="str">
            <v>Güzeloba Mah. Rauf Denktaş Cad. B Blok No:47 F 47 G Muratpaşa Antalya (1855673149-2636849875)</v>
          </cell>
          <cell r="E77" t="str">
            <v>MURATPAŞA</v>
          </cell>
          <cell r="F77">
            <v>43155</v>
          </cell>
          <cell r="G77" t="str">
            <v>ÇAĞRI YALÇIN</v>
          </cell>
          <cell r="H77" t="str">
            <v>VELİ GÖK</v>
          </cell>
        </row>
        <row r="78">
          <cell r="C78" t="str">
            <v>Medstar Muratpaşa Antalya</v>
          </cell>
          <cell r="D78" t="str">
            <v>Yıldız Mh. 219 Sk. Yıldız Yaşam Apt. No:32 A/B Muratpaşa ANTALYA</v>
          </cell>
          <cell r="E78" t="str">
            <v>MURATPAŞA</v>
          </cell>
          <cell r="F78">
            <v>43168</v>
          </cell>
          <cell r="G78" t="str">
            <v>ÖZKAN DEMİR</v>
          </cell>
          <cell r="H78" t="str">
            <v>ALİ AKÇAY</v>
          </cell>
        </row>
        <row r="79">
          <cell r="C79" t="str">
            <v>Hamidiye Muratpaşa Antalya</v>
          </cell>
          <cell r="D79" t="str">
            <v>Yıldız Mh. Çakırlar Cd. No:48 A/B Muratpaşa ANTALYA</v>
          </cell>
          <cell r="E79" t="str">
            <v>MURATPAŞA</v>
          </cell>
          <cell r="F79">
            <v>43186</v>
          </cell>
          <cell r="G79" t="str">
            <v>ÖZKAN DEMİR</v>
          </cell>
          <cell r="H79" t="str">
            <v>ALİ AKÇAY</v>
          </cell>
        </row>
        <row r="80">
          <cell r="C80" t="str">
            <v>Cebesoy / ANTALYA</v>
          </cell>
          <cell r="D80" t="str">
            <v>Sinan Mahallesi. Cebesoy Caddesi.No:62 Antalya</v>
          </cell>
          <cell r="E80" t="str">
            <v>MURATPAŞA</v>
          </cell>
          <cell r="F80">
            <v>39785</v>
          </cell>
          <cell r="G80" t="str">
            <v>İSMAİL YAZGAN</v>
          </cell>
          <cell r="H80" t="str">
            <v>GİZEM TOSUN</v>
          </cell>
        </row>
        <row r="81">
          <cell r="C81" t="str">
            <v>İbrahim Ateş Muratpaşa Antalya</v>
          </cell>
          <cell r="D81" t="str">
            <v>Çağlayan Mah. 2033 Sok. Fidan Apt. No:20 A Muratpaşa Antalya (1605406261)</v>
          </cell>
          <cell r="E81" t="str">
            <v>MURATPAŞA</v>
          </cell>
          <cell r="F81">
            <v>43209</v>
          </cell>
          <cell r="G81" t="str">
            <v>ERDAL ARSLAN</v>
          </cell>
          <cell r="H81" t="str">
            <v>ŞADAN YURDAKUL</v>
          </cell>
        </row>
        <row r="82">
          <cell r="C82" t="str">
            <v>Fetane Muratpaşa Antalya</v>
          </cell>
          <cell r="D82" t="str">
            <v>Çağlayan Mah. 2037 Sok. Yağmur Apt. Sit. No:14 A Muratpaşa Antalya (3093120156)</v>
          </cell>
          <cell r="E82" t="str">
            <v>MURATPAŞA</v>
          </cell>
          <cell r="F82">
            <v>43227</v>
          </cell>
          <cell r="G82" t="str">
            <v>EMRAH AKINCI</v>
          </cell>
          <cell r="H82" t="str">
            <v>ALİ AKÇAY</v>
          </cell>
        </row>
        <row r="83">
          <cell r="C83" t="str">
            <v>Kocatepe Kepez Antalya</v>
          </cell>
          <cell r="D83" t="str">
            <v>Yükseliş Mh. 2118 Sk. No:19A 1/2 Kepez ANTALYA</v>
          </cell>
          <cell r="E83" t="str">
            <v>KEPEZ</v>
          </cell>
          <cell r="F83">
            <v>43229</v>
          </cell>
          <cell r="G83" t="str">
            <v>KILIÇASLAN İYİCAN</v>
          </cell>
          <cell r="H83" t="str">
            <v>ALİ AKÇAY</v>
          </cell>
        </row>
        <row r="84">
          <cell r="C84" t="str">
            <v>Şarampol Muratpaşa Antalya</v>
          </cell>
          <cell r="D84" t="str">
            <v>Üçgen Mah. Tonguç Cad. Çakmak Apt. Sit. No: 59 A - 59 B - 59 C / Muratpaşa Antalya</v>
          </cell>
          <cell r="E84" t="str">
            <v>MURATPAŞA</v>
          </cell>
          <cell r="F84">
            <v>43245</v>
          </cell>
          <cell r="G84" t="str">
            <v>NESLİHAN ÖZYURT</v>
          </cell>
          <cell r="H84" t="str">
            <v>ALİ AKÇAY</v>
          </cell>
        </row>
        <row r="85">
          <cell r="C85" t="str">
            <v>Yeşiltepe Kepez Antalya</v>
          </cell>
          <cell r="D85" t="str">
            <v>Yeşiltepe Mh. Ziya Gökalp Cd. No:17 A-B Kepez ANTALYA</v>
          </cell>
          <cell r="E85" t="str">
            <v>KEPEZ</v>
          </cell>
          <cell r="F85">
            <v>43285</v>
          </cell>
          <cell r="G85" t="str">
            <v>KILIÇASLAN İYİCAN</v>
          </cell>
          <cell r="H85" t="str">
            <v>ALİ AKÇAY</v>
          </cell>
        </row>
        <row r="86">
          <cell r="C86" t="str">
            <v>Şehit Oğuz Muratpaşa Antalya</v>
          </cell>
          <cell r="D86" t="str">
            <v>Meydan Kavağı Mah. 1561 Sok. No:25 A/A 25 A/B Numaralı Dükkanlar Muratpaşa Antalya</v>
          </cell>
          <cell r="E86" t="str">
            <v>MURATPAŞA</v>
          </cell>
          <cell r="F86">
            <v>43300</v>
          </cell>
          <cell r="G86" t="str">
            <v>ABDULLAH BAY</v>
          </cell>
          <cell r="H86" t="str">
            <v>VELİ GÖK</v>
          </cell>
        </row>
        <row r="87">
          <cell r="C87" t="str">
            <v>15 Temmuz Kepez Antalya</v>
          </cell>
          <cell r="D87" t="str">
            <v>Düdenbaşı Mh. 15 Temmuz Şehitler Cd. No:18/ A-B Kepez ANTALYA</v>
          </cell>
          <cell r="E87" t="str">
            <v>KEPEZ</v>
          </cell>
          <cell r="F87">
            <v>43319</v>
          </cell>
          <cell r="G87" t="str">
            <v>KADİR ÇETİN</v>
          </cell>
          <cell r="H87" t="str">
            <v>VELİ GÖK</v>
          </cell>
        </row>
        <row r="88">
          <cell r="C88" t="str">
            <v>İsmetpaşa Caddesi Muratpaşa</v>
          </cell>
          <cell r="D88" t="str">
            <v>Tahılpazarı mah.İsmetpaşa caddesi. Mehmet Cadıl İş merkezi No:33/A-33/B Muratpaşa/Antalya</v>
          </cell>
          <cell r="E88" t="str">
            <v>MURATPAŞA</v>
          </cell>
          <cell r="F88">
            <v>45351</v>
          </cell>
          <cell r="G88" t="str">
            <v>İSMAİL YAZGAN</v>
          </cell>
          <cell r="H88" t="str">
            <v>GİZEM TOSUN</v>
          </cell>
        </row>
        <row r="89">
          <cell r="C89" t="str">
            <v>Kaleiçi Muratpaşa Antalya</v>
          </cell>
          <cell r="D89" t="str">
            <v>Tuzcular Mah. Mescit Sok. No:16 A Muratpaşa Antalya (1519909673)</v>
          </cell>
          <cell r="E89" t="str">
            <v>MURATPAŞA</v>
          </cell>
          <cell r="F89">
            <v>43657</v>
          </cell>
          <cell r="G89" t="str">
            <v>İSMAİL YAZGAN</v>
          </cell>
          <cell r="H89" t="str">
            <v>GİZEM TOSUN</v>
          </cell>
        </row>
        <row r="90">
          <cell r="C90" t="str">
            <v>Kızılırmak Muratpaşa Antalya</v>
          </cell>
          <cell r="D90" t="str">
            <v>Yenigün Mah. Kızılırmak Cad. Kızılırmak Apt. Sit. No:34/A 34/B Muratpaşa Antalya</v>
          </cell>
          <cell r="E90" t="str">
            <v>MURATPAŞA</v>
          </cell>
          <cell r="F90">
            <v>43735</v>
          </cell>
          <cell r="G90" t="str">
            <v>İSMAİL YAZGAN</v>
          </cell>
          <cell r="H90" t="str">
            <v>GİZEM TOSUN</v>
          </cell>
        </row>
        <row r="91">
          <cell r="C91" t="str">
            <v>Rasih Kaplan Cd Kepez Antalya</v>
          </cell>
          <cell r="D91" t="str">
            <v>Ulus Mh. Rasih Kaplan Cd. No:33 A-B Kepez ANTALYA</v>
          </cell>
          <cell r="E91" t="str">
            <v>KEPEZ</v>
          </cell>
          <cell r="F91">
            <v>43424</v>
          </cell>
          <cell r="G91" t="str">
            <v>FİKRET HOCA</v>
          </cell>
          <cell r="H91" t="str">
            <v>ALİ AKÇAY</v>
          </cell>
        </row>
        <row r="92">
          <cell r="C92" t="str">
            <v>Haseki Kepez Antalya</v>
          </cell>
          <cell r="D92" t="str">
            <v>Güneş Mh. Necip Fazıl Kısakürek Cd. Ulutaş Apt. No: 127/A-B Kepez ANTALYA</v>
          </cell>
          <cell r="E92" t="str">
            <v>KEPEZ</v>
          </cell>
          <cell r="F92">
            <v>43455</v>
          </cell>
          <cell r="G92" t="str">
            <v>SALİH SERKAN ERÇİN</v>
          </cell>
          <cell r="H92" t="str">
            <v>VELİ GÖK</v>
          </cell>
        </row>
        <row r="93">
          <cell r="C93" t="str">
            <v>Servet Muratpaşa Antalya</v>
          </cell>
          <cell r="D93" t="str">
            <v>Yenigün Mah. Kızılırmak Cd. Hacıoğulları Apt. Sit No: 18 A / Muratpaşa / Antalya (2958138790)</v>
          </cell>
          <cell r="E93" t="str">
            <v>MURATPAŞA</v>
          </cell>
          <cell r="F93">
            <v>44362</v>
          </cell>
          <cell r="G93" t="str">
            <v>İSMAİL YAZGAN</v>
          </cell>
          <cell r="H93" t="str">
            <v>GİZEM TOSUN</v>
          </cell>
        </row>
        <row r="94">
          <cell r="C94" t="str">
            <v>Sedir Muratpaşa Antalya</v>
          </cell>
          <cell r="D94" t="str">
            <v>Sedir Mah. Zambak Cad. No:44/A - 44/B Muratpaşa Antalya (3526620269) (3534119023)</v>
          </cell>
          <cell r="E94" t="str">
            <v>MURATPAŞA</v>
          </cell>
          <cell r="F94">
            <v>43479</v>
          </cell>
          <cell r="G94" t="str">
            <v>KILIÇASLAN İYİCAN</v>
          </cell>
          <cell r="H94" t="str">
            <v>ALİ AKÇAY</v>
          </cell>
        </row>
        <row r="95">
          <cell r="C95" t="str">
            <v>Memurevleri Muratpaşa Antalya</v>
          </cell>
          <cell r="D95" t="str">
            <v>Memurevleri Mh. Derya Cd. Çelik Apt. No:5 Muratpaşa Antalya</v>
          </cell>
          <cell r="E95" t="str">
            <v>MURATPAŞA</v>
          </cell>
          <cell r="F95">
            <v>43500</v>
          </cell>
          <cell r="G95" t="str">
            <v>ÖZKAN DEMİR</v>
          </cell>
          <cell r="H95" t="str">
            <v>ALİ AKÇAY</v>
          </cell>
        </row>
        <row r="96">
          <cell r="C96" t="str">
            <v>Yenikapı Muratpaşa Antalya</v>
          </cell>
          <cell r="D96" t="str">
            <v>Zerdalilik Mah. Cebesoy Cad. No:79 A Muratpaşa Antalya (5380570597)</v>
          </cell>
          <cell r="E96" t="str">
            <v>MURATPAŞA</v>
          </cell>
          <cell r="F96">
            <v>44800</v>
          </cell>
          <cell r="G96" t="str">
            <v>İSMAİL YAZGAN</v>
          </cell>
          <cell r="H96" t="str">
            <v>GİZEM TOSUN</v>
          </cell>
        </row>
        <row r="97">
          <cell r="C97" t="str">
            <v>PTT Muratpaşa Antalya</v>
          </cell>
          <cell r="D97" t="str">
            <v>Fener Mah. 1989 Sok. ABS apt. Sit. No:6/A 6/B Muratpaşa Antalya (1372014173) (1382213831)</v>
          </cell>
          <cell r="E97" t="str">
            <v>MURATPAŞA</v>
          </cell>
          <cell r="F97">
            <v>43515</v>
          </cell>
          <cell r="G97" t="str">
            <v>ERDAL ARSLAN</v>
          </cell>
          <cell r="H97" t="str">
            <v>ŞADAN YURDAKUL</v>
          </cell>
        </row>
        <row r="98">
          <cell r="C98" t="str">
            <v>Sosyal Bilimler Muratpaşa Antalya</v>
          </cell>
          <cell r="D98" t="str">
            <v>Güvenlik Mh. 281 Sk. No: 21 / B-C Muratpaşa Antalya</v>
          </cell>
          <cell r="E98" t="str">
            <v>MURATPAŞA</v>
          </cell>
          <cell r="F98">
            <v>43515</v>
          </cell>
          <cell r="G98" t="str">
            <v>KILIÇASLAN İYİCAN</v>
          </cell>
          <cell r="H98" t="str">
            <v>ALİ AKÇAY</v>
          </cell>
        </row>
        <row r="99">
          <cell r="C99" t="str">
            <v>Belediye Muratpaşa Antalya</v>
          </cell>
          <cell r="D99" t="str">
            <v>Çağlayan Mah. Barınaklar Bul. Atmaca Sitesi Sit. A Blok Apt. No: 1A 1B 1C 1D Muratpaşa / Antalya</v>
          </cell>
          <cell r="E99" t="str">
            <v>MURATPAŞA</v>
          </cell>
          <cell r="F99">
            <v>43522</v>
          </cell>
          <cell r="G99" t="str">
            <v>ERDAL ARSLAN</v>
          </cell>
          <cell r="H99" t="str">
            <v>ŞADAN YURDAKUL</v>
          </cell>
        </row>
        <row r="100">
          <cell r="C100" t="str">
            <v>Zerdalilik / Muratpaşa / ANTALYA</v>
          </cell>
          <cell r="D100" t="str">
            <v>Zerdalilik Mah.1385 Sok.Neşe Apt.No:10 / A-B-C nolu Dükkanlar Muratpaşa/ANTALYA</v>
          </cell>
          <cell r="E100" t="str">
            <v>MURATPAŞA</v>
          </cell>
          <cell r="F100">
            <v>42115</v>
          </cell>
          <cell r="G100" t="str">
            <v>İSMAİL YAZGAN</v>
          </cell>
          <cell r="H100" t="str">
            <v>GİZEM TOSUN</v>
          </cell>
        </row>
        <row r="101">
          <cell r="C101" t="str">
            <v>Nazım Hikmet Muratpaşa Antalya</v>
          </cell>
          <cell r="D101" t="str">
            <v>Güzeloba Mah. Rauf Denktaş Cad. Antik Residence Sitesi Sit. A Blok Apt. No:28 A Muratpaşa Antalya</v>
          </cell>
          <cell r="E101" t="str">
            <v>MURATPAŞA</v>
          </cell>
          <cell r="F101">
            <v>43523</v>
          </cell>
          <cell r="G101" t="str">
            <v>ÇAĞRI YALÇIN</v>
          </cell>
          <cell r="H101" t="str">
            <v>VELİ GÖK</v>
          </cell>
        </row>
        <row r="102">
          <cell r="C102" t="str">
            <v>Lara Cad. Muratpaşa Antalya</v>
          </cell>
          <cell r="D102" t="str">
            <v>Güzeloba Mah. Lara Cad. Salih Genç Apt. Sit. No: 180/A 180/B 180/C Muratpaşa Antalya</v>
          </cell>
          <cell r="E102" t="str">
            <v>MURATPAŞA</v>
          </cell>
          <cell r="F102">
            <v>43547</v>
          </cell>
          <cell r="G102" t="str">
            <v>EMRAH AKINCI</v>
          </cell>
          <cell r="H102" t="str">
            <v>ALİ AKÇAY</v>
          </cell>
        </row>
        <row r="103">
          <cell r="C103" t="str">
            <v>Çarşamba Pazarı Kepez Antalya</v>
          </cell>
          <cell r="D103" t="str">
            <v>Düdenbaşı Mh. Ömer Buyrukçu Cd. No:23/A Kepez Antalya</v>
          </cell>
          <cell r="E103" t="str">
            <v>KEPEZ</v>
          </cell>
          <cell r="F103">
            <v>43549</v>
          </cell>
          <cell r="G103" t="str">
            <v>SİNEM ÖZKAYA</v>
          </cell>
          <cell r="H103" t="str">
            <v>ŞADAN YURDAKUL</v>
          </cell>
        </row>
        <row r="104">
          <cell r="C104" t="str">
            <v>Ermenek Muratpaşa Antalya</v>
          </cell>
          <cell r="D104" t="str">
            <v>Ermenek Mah. Şehit Ali Daniyar Cad. No: 48/1 Muratpaşa Antalya (5193183182)</v>
          </cell>
          <cell r="E104" t="str">
            <v>MURATPAŞA</v>
          </cell>
          <cell r="F104">
            <v>43571</v>
          </cell>
          <cell r="G104" t="str">
            <v>ÇAĞRI YALÇIN</v>
          </cell>
          <cell r="H104" t="str">
            <v>VELİ GÖK</v>
          </cell>
        </row>
        <row r="105">
          <cell r="C105" t="str">
            <v>Kemerağzı Muratpaşa Antalya</v>
          </cell>
          <cell r="D105" t="str">
            <v>Güzeloba Mah. 2370 Sok. No:42 / A Muratpaşa Antalya (5292782025)</v>
          </cell>
          <cell r="E105" t="str">
            <v>MURATPAŞA</v>
          </cell>
          <cell r="F105">
            <v>43589</v>
          </cell>
          <cell r="G105" t="str">
            <v>EMRAH AKINCI</v>
          </cell>
          <cell r="H105" t="str">
            <v>ALİ AKÇAY</v>
          </cell>
        </row>
        <row r="106">
          <cell r="C106" t="str">
            <v>Kırçiçeği Kepez Antalya</v>
          </cell>
          <cell r="D106" t="str">
            <v>Baraj Mh. Kırçiçeği Cd. No:40/B A Blok Kepez Antalya</v>
          </cell>
          <cell r="E106" t="str">
            <v>KEPEZ</v>
          </cell>
          <cell r="F106">
            <v>43616</v>
          </cell>
          <cell r="G106" t="str">
            <v>RAMAZAN ÇATALTAŞ</v>
          </cell>
          <cell r="H106" t="str">
            <v>ŞADAN YURDAKUL</v>
          </cell>
        </row>
        <row r="107">
          <cell r="C107" t="str">
            <v>Aydınlıkevler Muratpaşa Antalya</v>
          </cell>
          <cell r="D107" t="str">
            <v>Konuksever Mah. 821 Sok. No:45 A Merkez Muratpaşa Antalya (5320712432)</v>
          </cell>
          <cell r="E107" t="str">
            <v>MURATPAŞA</v>
          </cell>
          <cell r="F107">
            <v>44041</v>
          </cell>
          <cell r="G107" t="str">
            <v>İSMET YILMAZ</v>
          </cell>
          <cell r="H107" t="str">
            <v>GİZEM TOSUN</v>
          </cell>
        </row>
        <row r="108">
          <cell r="C108" t="str">
            <v>Eroğlu Muratpaşa Antalya</v>
          </cell>
          <cell r="D108" t="str">
            <v>Konuksever Mah 808/1 Sok. Eroğlu Apt. Sit. No:8A-B-C/ Muratpaşa Antalya</v>
          </cell>
          <cell r="E108" t="str">
            <v>MURATPAŞA</v>
          </cell>
          <cell r="F108">
            <v>43465</v>
          </cell>
          <cell r="G108" t="str">
            <v>İSMET YILMAZ</v>
          </cell>
          <cell r="H108" t="str">
            <v>GİZEM TOSUN</v>
          </cell>
        </row>
        <row r="109">
          <cell r="C109" t="str">
            <v>Etiler / ANTALYA</v>
          </cell>
          <cell r="D109" t="str">
            <v>Etiler Mah.Karacaoğlan Cad.Gökşen Apt.No:60/1 Antalya</v>
          </cell>
          <cell r="E109" t="str">
            <v>MURATPAŞA</v>
          </cell>
          <cell r="F109">
            <v>39685</v>
          </cell>
          <cell r="G109" t="str">
            <v>İSMET YILMAZ</v>
          </cell>
          <cell r="H109" t="str">
            <v>GİZEM TOSUN</v>
          </cell>
        </row>
        <row r="110">
          <cell r="C110" t="str">
            <v>İstiklal İlköğretim Muratpaşa Antalya</v>
          </cell>
          <cell r="D110" t="str">
            <v>Zerdalilik Mah.1380 Sok. Halide Gököz Apt. Sit. No:4/A Muratpaşa Antalya (1512410067)</v>
          </cell>
          <cell r="E110" t="str">
            <v>MURATPAŞA</v>
          </cell>
          <cell r="F110">
            <v>43790</v>
          </cell>
          <cell r="G110" t="str">
            <v>ÜMİT KAAN ŞAHİN</v>
          </cell>
          <cell r="H110" t="str">
            <v>ŞADAN YURDAKUL</v>
          </cell>
        </row>
        <row r="111">
          <cell r="C111" t="str">
            <v>Şehitler Muratpaşa Antalya</v>
          </cell>
          <cell r="D111" t="str">
            <v>Meydankavağı Mah. Şehitler Cad. No:14 A / Muratpaşa Antalya (5211824528)</v>
          </cell>
          <cell r="E111" t="str">
            <v>MURATPAŞA</v>
          </cell>
          <cell r="F111">
            <v>43795</v>
          </cell>
          <cell r="G111" t="str">
            <v>ABDULLAH BAY</v>
          </cell>
          <cell r="H111" t="str">
            <v>VELİ GÖK</v>
          </cell>
        </row>
        <row r="112">
          <cell r="C112" t="str">
            <v>Esma Sultan Kepez Antalya</v>
          </cell>
          <cell r="D112" t="str">
            <v>Güneş Mh. 15 Temmuz Şehitler Cd. No:103/C Kepez Antalya</v>
          </cell>
          <cell r="E112" t="str">
            <v>KEPEZ</v>
          </cell>
          <cell r="F112">
            <v>43805</v>
          </cell>
          <cell r="G112" t="str">
            <v>KERİM YÜREKLİ</v>
          </cell>
          <cell r="H112" t="str">
            <v>VELİ GÖK</v>
          </cell>
        </row>
        <row r="113">
          <cell r="C113" t="str">
            <v>Osman Yüksel Kepez Antalya</v>
          </cell>
          <cell r="D113" t="str">
            <v>Teomanpaşa Mh. 2270 Sk. Öztürk Apt. No:29-A/B Kepez Antalya</v>
          </cell>
          <cell r="E113" t="str">
            <v>KEPEZ</v>
          </cell>
          <cell r="F113">
            <v>43822</v>
          </cell>
          <cell r="G113" t="str">
            <v>KERİM YÜREKLİ</v>
          </cell>
          <cell r="H113" t="str">
            <v>VELİ GÖK</v>
          </cell>
        </row>
        <row r="114">
          <cell r="C114" t="str">
            <v>Selekler Muratpaşa Antalya</v>
          </cell>
          <cell r="D114" t="str">
            <v>Deniz Mh. Konyaaltı Cd. Arat Apt. No:13 Muratpaşa Antalya</v>
          </cell>
          <cell r="E114" t="str">
            <v>MURATPAŞA</v>
          </cell>
          <cell r="F114">
            <v>43823</v>
          </cell>
          <cell r="G114" t="str">
            <v>İBRAHİM DURBALİ</v>
          </cell>
          <cell r="H114" t="str">
            <v>ALİ AKÇAY</v>
          </cell>
        </row>
        <row r="115">
          <cell r="C115" t="str">
            <v>Güzeloluk Muratpaşa Antalya</v>
          </cell>
          <cell r="D115" t="str">
            <v>Güzeloluk Mah. 1830 Sok. Konut 2 Katlı Sit. No: 87 A Muratpaşa Antalya (1020725998)</v>
          </cell>
          <cell r="E115" t="str">
            <v>MURATPAŞA</v>
          </cell>
          <cell r="F115">
            <v>43826</v>
          </cell>
          <cell r="G115" t="str">
            <v>ABDULLAH BAY</v>
          </cell>
          <cell r="H115" t="str">
            <v>VELİ GÖK</v>
          </cell>
        </row>
        <row r="116">
          <cell r="C116" t="str">
            <v>Bülent Ecevit Muratpaşa Antalya</v>
          </cell>
          <cell r="D116" t="str">
            <v>Fener Mah. Bülent Ecevit Bul. Yanık Apt. No:16/A 16/B Muratpaşa Antalya (1716702699) (1738601960)</v>
          </cell>
          <cell r="E116" t="str">
            <v>MURATPAŞA</v>
          </cell>
          <cell r="F116">
            <v>43854</v>
          </cell>
          <cell r="G116" t="str">
            <v>ÜMİT KAAN ŞAHİN</v>
          </cell>
          <cell r="H116" t="str">
            <v>ŞADAN YURDAKUL</v>
          </cell>
        </row>
        <row r="117">
          <cell r="C117" t="str">
            <v>Çınarlı Cad. Muratpaşa Antalya</v>
          </cell>
          <cell r="D117" t="str">
            <v>Yeşilbahçe Mah. Çınarlı Cad. 5. Eyiler Apt. No:9/A 9/B Muratpaşa Antalya (1062424989) (5033431361)</v>
          </cell>
          <cell r="E117" t="str">
            <v>MURATPAŞA</v>
          </cell>
          <cell r="F117">
            <v>43854</v>
          </cell>
          <cell r="G117" t="str">
            <v>TUĞÇE KOCABAŞ</v>
          </cell>
          <cell r="H117" t="str">
            <v>VELİ GÖK</v>
          </cell>
        </row>
        <row r="118">
          <cell r="C118" t="str">
            <v>Osman Gazi Muratpaşa Antalya</v>
          </cell>
          <cell r="D118" t="str">
            <v>Soğuksu Mh. Toroslar Cd. Office 12 İş Merkezi No:62/A Muratpaşa Antalya</v>
          </cell>
          <cell r="E118" t="str">
            <v>MURATPAŞA</v>
          </cell>
          <cell r="F118">
            <v>43858</v>
          </cell>
          <cell r="G118" t="str">
            <v>FİKRET HOCA</v>
          </cell>
          <cell r="H118" t="str">
            <v>ALİ AKÇAY</v>
          </cell>
        </row>
        <row r="119">
          <cell r="C119" t="str">
            <v>Düden Park Muratpaşa Antalya</v>
          </cell>
          <cell r="D119" t="str">
            <v>Çağlayan Mah. 2051 Sok. No:49/A Muratpaşa Antalya (2900840618)</v>
          </cell>
          <cell r="E119" t="str">
            <v>MURATPAŞA</v>
          </cell>
          <cell r="F119">
            <v>43861</v>
          </cell>
          <cell r="G119" t="str">
            <v>ÜMİT KAAN ŞAHİN</v>
          </cell>
          <cell r="H119" t="str">
            <v>ŞADAN YURDAKUL</v>
          </cell>
        </row>
        <row r="120">
          <cell r="C120" t="str">
            <v>Antalya Caddesi Kepez Antalya</v>
          </cell>
          <cell r="D120" t="str">
            <v>Altınova Orta Mh. Antalya Caddesi No:202/A-B Kepez Antalya</v>
          </cell>
          <cell r="E120" t="str">
            <v>KEPEZ</v>
          </cell>
          <cell r="F120">
            <v>43868</v>
          </cell>
          <cell r="G120" t="str">
            <v>RAMAZAN ÇATALTAŞ</v>
          </cell>
          <cell r="H120" t="str">
            <v>ŞADAN YURDAKUL</v>
          </cell>
        </row>
        <row r="121">
          <cell r="C121" t="str">
            <v>Eski Lara Cad Muratpaşa Antalya</v>
          </cell>
          <cell r="D121" t="str">
            <v>Eski Lara Cad Muratpaşa Antalya 2/10 1961. SokakN:1</v>
          </cell>
          <cell r="E121" t="str">
            <v>MURATPAŞA</v>
          </cell>
          <cell r="F121">
            <v>43883</v>
          </cell>
          <cell r="G121" t="str">
            <v>ÜMİT KAAN ŞAHİN</v>
          </cell>
          <cell r="H121" t="str">
            <v>ŞADAN YURDAKUL</v>
          </cell>
        </row>
        <row r="122">
          <cell r="C122" t="str">
            <v>Molla Gürani Kepez Antalya</v>
          </cell>
          <cell r="D122" t="str">
            <v>Gazi Mh. 6560 Sk. No:5/C-D Kepez Antalya</v>
          </cell>
          <cell r="E122" t="str">
            <v>KEPEZ</v>
          </cell>
          <cell r="F122">
            <v>43889</v>
          </cell>
          <cell r="G122" t="str">
            <v>YUNUS BAYSAL</v>
          </cell>
          <cell r="H122" t="str">
            <v>ŞADAN YURDAKUL</v>
          </cell>
        </row>
        <row r="123">
          <cell r="C123" t="str">
            <v>Suphi Türel Kepez Antalya</v>
          </cell>
          <cell r="D123" t="str">
            <v>Göksu Mh. Suphi Türel Cd. No:28/BC Kepez Antalya</v>
          </cell>
          <cell r="E123" t="str">
            <v>KEPEZ</v>
          </cell>
          <cell r="F123">
            <v>43889</v>
          </cell>
          <cell r="G123" t="str">
            <v>SİNEM ÖZKAYA</v>
          </cell>
          <cell r="H123" t="str">
            <v>ŞADAN YURDAKUL</v>
          </cell>
        </row>
        <row r="124">
          <cell r="C124" t="str">
            <v>Turgut Özal Cd. Kepez Antalya</v>
          </cell>
          <cell r="D124" t="str">
            <v>Baraj Mh. Turgut Özal Cd. No:192/D Kepez Antalya</v>
          </cell>
          <cell r="E124" t="str">
            <v>KEPEZ</v>
          </cell>
          <cell r="F124">
            <v>43964</v>
          </cell>
          <cell r="G124" t="str">
            <v>RAMAZAN ÇATALTAŞ</v>
          </cell>
          <cell r="H124" t="str">
            <v>ŞADAN YURDAKUL</v>
          </cell>
        </row>
        <row r="125">
          <cell r="C125" t="str">
            <v>Sosyal Güvenlik Muratpaşa Antalya</v>
          </cell>
          <cell r="D125" t="str">
            <v>Üçgen Mah. Şarampol Cad. No:192 A Merkez Murtapaşa Antalya (1310293368)</v>
          </cell>
          <cell r="E125" t="str">
            <v>MURATPAŞA</v>
          </cell>
          <cell r="F125">
            <v>44008</v>
          </cell>
          <cell r="G125" t="str">
            <v>NESLİHAN ÖZYURT</v>
          </cell>
          <cell r="H125" t="str">
            <v>ALİ AKÇAY</v>
          </cell>
        </row>
        <row r="126">
          <cell r="C126" t="str">
            <v>Kültür Merkezi Muratpaşa Antalya</v>
          </cell>
          <cell r="D126" t="str">
            <v>Çaybaşı Mah. Ali Çetinkaya Cad. 2. Oba Apt. Sit. No: 54 A-D-E-F Merkez Muratpaşa Antalya</v>
          </cell>
          <cell r="E126" t="str">
            <v>MURATPAŞA</v>
          </cell>
          <cell r="F126">
            <v>44034</v>
          </cell>
          <cell r="G126" t="str">
            <v>ÜMİT KAAN ŞAHİN</v>
          </cell>
          <cell r="H126" t="str">
            <v>ŞADAN YURDAKUL</v>
          </cell>
        </row>
        <row r="127">
          <cell r="C127" t="str">
            <v>Evliya Çelebi Muratpaşa Antalya</v>
          </cell>
          <cell r="D127" t="str">
            <v>Etiler Mah. 882 Sok. Mollaoğlu Apt. No:28 / A Muratpaşa Antalya (1465973673)</v>
          </cell>
          <cell r="E127" t="str">
            <v>MURATPAŞA</v>
          </cell>
          <cell r="F127">
            <v>43332</v>
          </cell>
          <cell r="G127" t="str">
            <v>İSMET YILMAZ</v>
          </cell>
          <cell r="H127" t="str">
            <v>GİZEM TOSUN</v>
          </cell>
        </row>
        <row r="128">
          <cell r="C128" t="str">
            <v>Stadyum Muratpaşa Antalya</v>
          </cell>
          <cell r="D128" t="str">
            <v>Meydankavağı Mah. 1550 Sk. No:39 A-B Merkez Muratpaşa Antalya (5284779948)(5056824963)</v>
          </cell>
          <cell r="E128" t="str">
            <v>MURATPAŞA</v>
          </cell>
          <cell r="F128">
            <v>44062</v>
          </cell>
          <cell r="G128" t="str">
            <v>ABDULLAH BAY</v>
          </cell>
          <cell r="H128" t="str">
            <v>VELİ GÖK</v>
          </cell>
        </row>
        <row r="129">
          <cell r="C129" t="str">
            <v>Varsak Bey Cd. Kepez Antalya</v>
          </cell>
          <cell r="D129" t="str">
            <v>Şelale Mh. Varsak Bey Cd. No:80/A Kepez Antalya</v>
          </cell>
          <cell r="E129" t="str">
            <v>KEPEZ</v>
          </cell>
          <cell r="F129">
            <v>44064</v>
          </cell>
          <cell r="G129" t="str">
            <v>TUĞBA ALDI</v>
          </cell>
          <cell r="H129" t="str">
            <v>VELİ GÖK</v>
          </cell>
        </row>
        <row r="130">
          <cell r="C130" t="str">
            <v>Kümeevleri Muratpaşa Antalya</v>
          </cell>
          <cell r="D130" t="str">
            <v>Dutlubahçe Mah. 751 Sok. Özdemir Apt. Sit. No: 15 A Muratpaşa Antalya (1079223861)</v>
          </cell>
          <cell r="E130" t="str">
            <v>MURATPAŞA</v>
          </cell>
          <cell r="F130">
            <v>44084</v>
          </cell>
          <cell r="G130" t="str">
            <v>NESLİHAN ÖZYURT</v>
          </cell>
          <cell r="H130" t="str">
            <v>ALİ AKÇAY</v>
          </cell>
        </row>
        <row r="131">
          <cell r="C131" t="str">
            <v>Yaşam Muratpaşa Antalya</v>
          </cell>
          <cell r="D131" t="str">
            <v>Cumhuriyet Mah. 650 Sk. Safalar 2 Apt. Sit. No:10 A Muratpaşa Antalya (2525541252)</v>
          </cell>
          <cell r="E131" t="str">
            <v>MURATPAŞA</v>
          </cell>
          <cell r="F131">
            <v>44089</v>
          </cell>
          <cell r="G131" t="str">
            <v>NESLİHAN ÖZYURT</v>
          </cell>
          <cell r="H131" t="str">
            <v>ALİ AKÇAY</v>
          </cell>
        </row>
        <row r="132">
          <cell r="C132" t="str">
            <v>İsmet Gökşen Muratpaşa Antalya</v>
          </cell>
          <cell r="D132" t="str">
            <v>Şirinyalı Mah. İsmet Gökşen Cad. Serpil Apt. Sit. No: 109 A Muratpaşa Antalya (1127222717)</v>
          </cell>
          <cell r="E132" t="str">
            <v>MURATPAŞA</v>
          </cell>
          <cell r="F132">
            <v>44100</v>
          </cell>
          <cell r="G132" t="str">
            <v>ERDAL ARSLAN</v>
          </cell>
          <cell r="H132" t="str">
            <v>ŞADAN YURDAKUL</v>
          </cell>
        </row>
        <row r="133">
          <cell r="C133" t="str">
            <v>Köşk Muratpaşa Antalya</v>
          </cell>
          <cell r="D133" t="str">
            <v>Şirinyalı Mah. 1486 Sok. Hamurcu Apt Sit. No: 17 A Merkez Muratpaşa Antalya (1491410591)</v>
          </cell>
          <cell r="E133" t="str">
            <v>MURATPAŞA</v>
          </cell>
          <cell r="F133">
            <v>44162</v>
          </cell>
          <cell r="G133" t="str">
            <v>TUĞÇE KOCABAŞ</v>
          </cell>
          <cell r="H133" t="str">
            <v>VELİ GÖK</v>
          </cell>
        </row>
        <row r="134">
          <cell r="C134" t="str">
            <v>Gazi Bulvarı / ANTALYA</v>
          </cell>
          <cell r="D134" t="str">
            <v>Dutlubahçe Mah. 760.Sok. No: 37/1 Zemin Depo Muratpaşa / ANTALYA</v>
          </cell>
          <cell r="E134" t="str">
            <v>MURATPAŞA</v>
          </cell>
          <cell r="F134">
            <v>41363</v>
          </cell>
          <cell r="G134" t="str">
            <v>İSMET YILMAZ</v>
          </cell>
          <cell r="H134" t="str">
            <v>GİZEM TOSUN</v>
          </cell>
        </row>
        <row r="135">
          <cell r="C135" t="str">
            <v>Mimar Sinan Muratpaşa Antalya</v>
          </cell>
          <cell r="D135" t="str">
            <v>Yıldız Mh. Mimar Sinan Cd. Çetin Apartmanı No: 37 A-B Muratpaşa Antalya</v>
          </cell>
          <cell r="E135" t="str">
            <v>MURATPAŞA</v>
          </cell>
          <cell r="F135">
            <v>44194</v>
          </cell>
          <cell r="G135" t="str">
            <v>ÖZKAN DEMİR</v>
          </cell>
          <cell r="H135" t="str">
            <v>ALİ AKÇAY</v>
          </cell>
        </row>
        <row r="136">
          <cell r="C136" t="str">
            <v>Alpay Anaokulu Kepez Antalya</v>
          </cell>
          <cell r="D136" t="str">
            <v>Şelale Mh. Anadolu Cd. No:56/A-B Kepez Antalya</v>
          </cell>
          <cell r="E136" t="str">
            <v>KEPEZ</v>
          </cell>
          <cell r="F136">
            <v>44237</v>
          </cell>
          <cell r="G136" t="str">
            <v>TUĞBA ALDI</v>
          </cell>
          <cell r="H136" t="str">
            <v>VELİ GÖK</v>
          </cell>
        </row>
        <row r="137">
          <cell r="C137" t="str">
            <v>Sülemiş Muratpaşa Antalya</v>
          </cell>
          <cell r="D137" t="str">
            <v>Şirinyalı Mah. 1503/1 Sok. Villa Cennet Sit. No:15 A Muratpaşa Antalya (5126988319)</v>
          </cell>
          <cell r="E137" t="str">
            <v>MURATPAŞA</v>
          </cell>
          <cell r="F137">
            <v>44253</v>
          </cell>
          <cell r="G137" t="str">
            <v>ERDAL ARSLAN</v>
          </cell>
          <cell r="H137" t="str">
            <v>ŞADAN YURDAKUL</v>
          </cell>
        </row>
        <row r="138">
          <cell r="C138" t="str">
            <v>İsmet İnönü Kepez Antalya</v>
          </cell>
          <cell r="D138" t="str">
            <v>Hüsnü Karakaş Mh. Fatin Rüştü Zorlu Cd. No:13/AA-AB Kepez Antalya</v>
          </cell>
          <cell r="E138" t="str">
            <v>KEPEZ</v>
          </cell>
          <cell r="F138">
            <v>44266</v>
          </cell>
          <cell r="G138" t="str">
            <v>RAMAZAN ÇATALTAŞ</v>
          </cell>
          <cell r="H138" t="str">
            <v>ŞADAN YURDAKUL</v>
          </cell>
        </row>
        <row r="139">
          <cell r="C139" t="str">
            <v>Avni Tolunay Muratpaşa Antalya</v>
          </cell>
          <cell r="D139" t="str">
            <v>Meydankavağı Mah. 1562/1 Sok. No:12 A Muratpaşa Antalya (1336392137)</v>
          </cell>
          <cell r="E139" t="str">
            <v>MURATPAŞA</v>
          </cell>
          <cell r="F139">
            <v>44267</v>
          </cell>
          <cell r="G139" t="str">
            <v>ABDULLAH BAY</v>
          </cell>
          <cell r="H139" t="str">
            <v>VELİ GÖK</v>
          </cell>
        </row>
        <row r="140">
          <cell r="C140" t="str">
            <v>KılıçPark Muratpaşa Antalya</v>
          </cell>
          <cell r="D140" t="str">
            <v>Konuksever Mahallesi 821 Sokak C. Doğan Apt. No: 9A Muratpaşa / Antalya</v>
          </cell>
          <cell r="E140" t="str">
            <v>MURATPAŞA</v>
          </cell>
          <cell r="F140">
            <v>45260</v>
          </cell>
          <cell r="G140" t="str">
            <v>İSMET YILMAZ</v>
          </cell>
          <cell r="H140" t="str">
            <v>GİZEM TOSUN</v>
          </cell>
        </row>
        <row r="141">
          <cell r="C141" t="str">
            <v>Barınaklar Muratpaşa Antalya</v>
          </cell>
          <cell r="D141" t="str">
            <v>Çağlayan Mah. Barınaklar Bulv. Pınar Apt. Sit. No:116 A Muratpaşa Antalya (2958424620)</v>
          </cell>
          <cell r="E141" t="str">
            <v>MURATPAŞA</v>
          </cell>
          <cell r="F141">
            <v>44320</v>
          </cell>
          <cell r="G141" t="str">
            <v>EMRAH AKINCI</v>
          </cell>
          <cell r="H141" t="str">
            <v>ALİ AKÇAY</v>
          </cell>
        </row>
        <row r="142">
          <cell r="C142" t="str">
            <v>Yeni Düdenbaşı Kepez Antalya</v>
          </cell>
          <cell r="D142" t="str">
            <v>Teomanpaşa Mh. 15 Temmuz Şehitler Cd. No:29/A Kepez Antalya</v>
          </cell>
          <cell r="E142" t="str">
            <v>KEPEZ</v>
          </cell>
          <cell r="F142">
            <v>44327</v>
          </cell>
          <cell r="G142" t="str">
            <v>KADİR ÇETİN</v>
          </cell>
          <cell r="H142" t="str">
            <v>VELİ GÖK</v>
          </cell>
        </row>
        <row r="143">
          <cell r="C143" t="str">
            <v>Konuksever Muratpaşa Antalya</v>
          </cell>
          <cell r="D143" t="str">
            <v>Konuksever Mah. 819 Sok. Erçelik Apt No:10 K:1 Muratpaşa Antalya (1287717183)</v>
          </cell>
          <cell r="E143" t="str">
            <v>MURATPAŞA</v>
          </cell>
          <cell r="F143">
            <v>43384</v>
          </cell>
          <cell r="G143" t="str">
            <v>İSMET YILMAZ</v>
          </cell>
          <cell r="H143" t="str">
            <v>GİZEM TOSUN</v>
          </cell>
        </row>
        <row r="144">
          <cell r="C144" t="str">
            <v>Mehmet Çetin Muratpaşa/Antalya</v>
          </cell>
          <cell r="D144" t="str">
            <v>Muratpaşa Mahallesi, Karacaoğlan Cd. 597 Sk. Çetin Apartm. No:11(1-2-3-4-5-6 Nolu Dükkanlar)</v>
          </cell>
          <cell r="E144" t="str">
            <v>MURATPAŞA</v>
          </cell>
          <cell r="F144">
            <v>45838</v>
          </cell>
          <cell r="G144" t="str">
            <v>İSMET YILMAZ</v>
          </cell>
          <cell r="H144" t="str">
            <v>GİZEM TOSUN</v>
          </cell>
        </row>
        <row r="145">
          <cell r="C145" t="str">
            <v>Zambak Muratpaşa Antalya</v>
          </cell>
          <cell r="D145" t="str">
            <v>Sedir Mah. 726 Sok. Ünver Osman Apt. Sit. No: 6 A - 6 B Muratpaşa Antalya (1391813845)(1439512250)</v>
          </cell>
          <cell r="E145" t="str">
            <v>MURATPAŞA</v>
          </cell>
          <cell r="F145">
            <v>44469</v>
          </cell>
          <cell r="G145" t="str">
            <v>KILIÇASLAN İYİCAN</v>
          </cell>
          <cell r="H145" t="str">
            <v>ALİ AKÇAY</v>
          </cell>
        </row>
        <row r="146">
          <cell r="C146" t="str">
            <v>Gaziler Kepez Antalya</v>
          </cell>
          <cell r="D146" t="str">
            <v>Gaziler Mah. Gaziler Cad. No:192/D Kepez Antalya</v>
          </cell>
          <cell r="E146" t="str">
            <v>KEPEZ</v>
          </cell>
          <cell r="F146">
            <v>44516</v>
          </cell>
          <cell r="G146" t="str">
            <v>TUĞBA ALDI</v>
          </cell>
          <cell r="H146" t="str">
            <v>VELİ GÖK</v>
          </cell>
        </row>
        <row r="147">
          <cell r="C147" t="str">
            <v>Tıp Merkezi Muratpaşa Antalya</v>
          </cell>
          <cell r="D147" t="str">
            <v>Sedir Mah. Gazi Bulvarı Bulvar Apt. Sitesi No:74 A Muratpaşa Antalya (1797700323)</v>
          </cell>
          <cell r="E147" t="str">
            <v>MURATPAŞA</v>
          </cell>
          <cell r="F147">
            <v>44617</v>
          </cell>
          <cell r="G147" t="str">
            <v>FİKRET HOCA</v>
          </cell>
          <cell r="H147" t="str">
            <v>ALİ AKÇAY</v>
          </cell>
        </row>
        <row r="148">
          <cell r="C148" t="str">
            <v>Cumartesi Pazarı Kepez Antalya</v>
          </cell>
          <cell r="D148" t="str">
            <v>Habibler Mah. 5608 Sk. No:6/AD-AE-AF-AT Kepez Antalya</v>
          </cell>
          <cell r="E148" t="str">
            <v>KEPEZ</v>
          </cell>
          <cell r="F148">
            <v>44674</v>
          </cell>
          <cell r="G148" t="str">
            <v>SELİM GÜNDÜZ</v>
          </cell>
          <cell r="H148" t="str">
            <v>ŞADAN YURDAKUL</v>
          </cell>
        </row>
        <row r="149">
          <cell r="C149" t="str">
            <v>Göksu Mh. Kepez Antalya</v>
          </cell>
          <cell r="D149" t="str">
            <v>Göksu Mah. 6806 Sok. No:12-C Kepez Antalya</v>
          </cell>
          <cell r="E149" t="str">
            <v>KEPEZ</v>
          </cell>
          <cell r="F149">
            <v>44704</v>
          </cell>
          <cell r="G149" t="str">
            <v>SİNEM ÖZKAYA</v>
          </cell>
          <cell r="H149" t="str">
            <v>ŞADAN YURDAKUL</v>
          </cell>
        </row>
        <row r="150">
          <cell r="C150" t="str">
            <v>Mustafa Koç Camii Kepez-Antalya</v>
          </cell>
          <cell r="D150" t="str">
            <v>Sütçüler Mahallesi 6506 Sokak No:20/B KEPEZ/ANTALYA</v>
          </cell>
          <cell r="E150" t="str">
            <v>KEPEZ</v>
          </cell>
          <cell r="F150">
            <v>44740</v>
          </cell>
          <cell r="G150" t="str">
            <v>YUNUS BAYSAL</v>
          </cell>
          <cell r="H150" t="str">
            <v>ŞADAN YURDAKUL</v>
          </cell>
        </row>
        <row r="151">
          <cell r="C151" t="str">
            <v>Spor89 Kepez Antalya</v>
          </cell>
          <cell r="D151" t="str">
            <v>Zeytinlik mahallesi 20. cadde No:72/A</v>
          </cell>
          <cell r="E151" t="str">
            <v>KEPEZ</v>
          </cell>
          <cell r="F151">
            <v>44796</v>
          </cell>
          <cell r="G151" t="str">
            <v>TUĞBA ALDI</v>
          </cell>
          <cell r="H151" t="str">
            <v>VELİ GÖK</v>
          </cell>
        </row>
        <row r="152">
          <cell r="C152" t="str">
            <v>Büyükşehir Muratpaşa Antalya</v>
          </cell>
          <cell r="D152" t="str">
            <v>Yüksekalan Mh. 538. Sk. 5241 Ada 03 parsel nolu dükkan Muratpaşa/Antalya</v>
          </cell>
          <cell r="E152" t="str">
            <v>MURATPAŞA</v>
          </cell>
          <cell r="F152">
            <v>45738</v>
          </cell>
          <cell r="G152" t="str">
            <v>MEHMET KÜÇÜKOĞLU</v>
          </cell>
          <cell r="H152" t="str">
            <v>GİZEM TOSUN</v>
          </cell>
        </row>
        <row r="153">
          <cell r="C153" t="str">
            <v>Sanat Akademi Muratpaşa Antalya</v>
          </cell>
          <cell r="D153" t="str">
            <v>Meydan Kavağı Mah. İsmail Cem Cad. Reşide Hanım Sit. A Blok 36/A Muratpaşa Antalya (2744834645)</v>
          </cell>
          <cell r="E153" t="str">
            <v>MURATPAŞA</v>
          </cell>
          <cell r="F153">
            <v>44856</v>
          </cell>
          <cell r="G153" t="str">
            <v>ABDULLAH BAY</v>
          </cell>
          <cell r="H153" t="str">
            <v>VELİ GÖK</v>
          </cell>
        </row>
        <row r="154">
          <cell r="C154" t="str">
            <v>Celal Kaya Muratpaşa Antalya</v>
          </cell>
          <cell r="D154" t="str">
            <v>Haşim İşcan mahallesi Arık caddesi Eray Apt. No:10/A</v>
          </cell>
          <cell r="E154" t="str">
            <v>MURATPAŞA</v>
          </cell>
          <cell r="F154">
            <v>45167</v>
          </cell>
          <cell r="G154" t="str">
            <v>MEHMET KÜÇÜKOĞLU</v>
          </cell>
          <cell r="H154" t="str">
            <v>GİZEM TOSUN</v>
          </cell>
        </row>
        <row r="155">
          <cell r="C155" t="str">
            <v>Fabrikalar Kepez Antalya</v>
          </cell>
          <cell r="D155" t="str">
            <v>Fabrikalar Mah. Fikri Erten Cad. Salepçi Sit. No:27/A Kepez Antalya (2425048044)</v>
          </cell>
          <cell r="E155" t="str">
            <v>KEPEZ</v>
          </cell>
          <cell r="F155">
            <v>44884</v>
          </cell>
          <cell r="G155" t="str">
            <v>KILIÇASLAN İYİCAN</v>
          </cell>
          <cell r="H155" t="str">
            <v>ALİ AKÇAY</v>
          </cell>
        </row>
        <row r="156">
          <cell r="C156" t="str">
            <v>Gençlik/Muratpaşa/ANTALYA</v>
          </cell>
          <cell r="D156" t="str">
            <v>Gençlik Mah.Fevzi Çakmak Cad.Enver Bey Apt.No:28/1 Muratpaşa / ANTALYA</v>
          </cell>
          <cell r="E156" t="str">
            <v>MURATPAŞA</v>
          </cell>
          <cell r="F156">
            <v>41747</v>
          </cell>
          <cell r="G156" t="str">
            <v>MEHMET KÜÇÜKOĞLU</v>
          </cell>
          <cell r="H156" t="str">
            <v>GİZEM TOSUN</v>
          </cell>
        </row>
        <row r="157">
          <cell r="C157" t="str">
            <v>Fatmanur Çelik Kepez Antalya</v>
          </cell>
          <cell r="D157" t="str">
            <v>Teomanpaşa Mah. 2226 Sok. Yazgı Apt. No: 6 A / KEPEZ / ANTALYA (2842039493)</v>
          </cell>
          <cell r="E157" t="str">
            <v>KEPEZ</v>
          </cell>
          <cell r="F157">
            <v>44921</v>
          </cell>
          <cell r="G157" t="str">
            <v>KADİR ÇETİN</v>
          </cell>
          <cell r="H157" t="str">
            <v>VELİ GÖK</v>
          </cell>
        </row>
        <row r="158">
          <cell r="C158" t="str">
            <v>Kız Yurdu Kepez Antalya</v>
          </cell>
          <cell r="D158" t="str">
            <v>Habibler Mah. 6576 Sok. No:16AA Kepez / Antalya (5160065354)</v>
          </cell>
          <cell r="E158" t="str">
            <v>KEPEZ</v>
          </cell>
          <cell r="F158">
            <v>44921</v>
          </cell>
          <cell r="G158" t="str">
            <v>YUNUS BAYSAL</v>
          </cell>
          <cell r="H158" t="str">
            <v>ŞADAN YURDAKUL</v>
          </cell>
        </row>
        <row r="159">
          <cell r="C159" t="str">
            <v>23. Cadde Kepez Antalya</v>
          </cell>
          <cell r="D159" t="str">
            <v>Ayanoğlu Mh. 23. Cadde No:16/A Kepez / Antalya (5484033971)</v>
          </cell>
          <cell r="E159" t="str">
            <v>KEPEZ</v>
          </cell>
          <cell r="F159">
            <v>44924</v>
          </cell>
          <cell r="G159" t="str">
            <v>SELİM GÜNDÜZ</v>
          </cell>
          <cell r="H159" t="str">
            <v>ŞADAN YURDAKUL</v>
          </cell>
        </row>
        <row r="160">
          <cell r="C160" t="str">
            <v>Yüzbaşı Mustafa Ertuğrul Kepez Antalya</v>
          </cell>
          <cell r="D160" t="str">
            <v>Gazi Mh. 6545. Sokak A Blok No: 18AB Kepez / Antalya (5398758184)</v>
          </cell>
          <cell r="E160" t="str">
            <v>KEPEZ</v>
          </cell>
          <cell r="F160">
            <v>44925</v>
          </cell>
          <cell r="G160" t="str">
            <v>YUNUS BAYSAL</v>
          </cell>
          <cell r="H160" t="str">
            <v>ŞADAN YURDAKUL</v>
          </cell>
        </row>
        <row r="161">
          <cell r="C161" t="str">
            <v>Üçyol Kepez Antalya</v>
          </cell>
          <cell r="D161" t="str">
            <v>Baraj Mah. 5833 Sok. 1A-BLOK No: 4A /  Kepez / Antalya (5287665797)</v>
          </cell>
          <cell r="E161" t="str">
            <v>KEPEZ</v>
          </cell>
          <cell r="F161">
            <v>44947</v>
          </cell>
          <cell r="G161" t="str">
            <v>RAMAZAN ÇATALTAŞ</v>
          </cell>
          <cell r="H161" t="str">
            <v>ŞADAN YURDAKUL</v>
          </cell>
        </row>
        <row r="162">
          <cell r="C162" t="str">
            <v>Orhan Veli Cd Kepez Antalya</v>
          </cell>
          <cell r="D162" t="str">
            <v>Ulus Mah. Orhan Veli Cad. No:58/A Yüce apt. Kepez / Antalya (1363613942)</v>
          </cell>
          <cell r="E162" t="str">
            <v>KEPEZ</v>
          </cell>
          <cell r="F162">
            <v>44950</v>
          </cell>
          <cell r="G162" t="str">
            <v>FİKRET HOCA</v>
          </cell>
          <cell r="H162" t="str">
            <v>ALİ AKÇAY</v>
          </cell>
        </row>
        <row r="163">
          <cell r="C163" t="str">
            <v>Atatürk Cd Kepez Antalya</v>
          </cell>
          <cell r="D163" t="str">
            <v>Şelale Mah. 7497 Sok. No: 13/1  13/ 2  13/3  Kepez / ANTALYA</v>
          </cell>
          <cell r="E163" t="str">
            <v>KEPEZ</v>
          </cell>
          <cell r="F163">
            <v>44957</v>
          </cell>
          <cell r="G163" t="str">
            <v>TUĞBA ALDI</v>
          </cell>
          <cell r="H163" t="str">
            <v>VELİ GÖK</v>
          </cell>
        </row>
        <row r="164">
          <cell r="C164" t="str">
            <v>Borsa Lisesi Kepez Antalya</v>
          </cell>
          <cell r="D164" t="str">
            <v>Hüsnü Karakaş mahallesi. 3608 sokak. 15/A 15/B</v>
          </cell>
          <cell r="E164" t="str">
            <v>KEPEZ</v>
          </cell>
          <cell r="F164">
            <v>44985</v>
          </cell>
          <cell r="G164" t="str">
            <v>RAMAZAN ÇATALTAŞ</v>
          </cell>
          <cell r="H164" t="str">
            <v>ŞADAN YURDAKUL</v>
          </cell>
        </row>
        <row r="165">
          <cell r="C165" t="str">
            <v>Hakan Karakaya Kepez Antalya</v>
          </cell>
          <cell r="D165" t="str">
            <v>Güneş Mah. Şehit Astsubay Unay Ömer Halis Cd. No: 112 A / KEPEZ / ANTALYA (5317626876)</v>
          </cell>
          <cell r="E165" t="str">
            <v>KEPEZ</v>
          </cell>
          <cell r="F165">
            <v>44985</v>
          </cell>
          <cell r="G165" t="str">
            <v>SALİH SERKAN ERÇİN</v>
          </cell>
          <cell r="H165" t="str">
            <v>VELİ GÖK</v>
          </cell>
        </row>
        <row r="166">
          <cell r="C166" t="str">
            <v>Ritim Kepez Antalya</v>
          </cell>
          <cell r="D166" t="str">
            <v>Hüsnü Karakaş  Mah. Hasan Polatkan Cd. Ritim ANTALYA A blok  No: 15 AA / KEPEZ / ANTALYA</v>
          </cell>
          <cell r="E166" t="str">
            <v>KEPEZ</v>
          </cell>
          <cell r="F166">
            <v>44991</v>
          </cell>
          <cell r="G166" t="str">
            <v>SALİH SERKAN ERÇİN</v>
          </cell>
          <cell r="H166" t="str">
            <v>VELİ GÖK</v>
          </cell>
        </row>
        <row r="167">
          <cell r="C167" t="str">
            <v>Uhud Camii Kepez</v>
          </cell>
          <cell r="D167" t="str">
            <v>HÜSNÜ KARAKAŞ Mah. ELMALILI HAMDİ YAZIR Cd. AY Işığı sit. C BLOK No: 9 C / KEPEZ / ANTALYA</v>
          </cell>
          <cell r="E167" t="str">
            <v>KEPEZ</v>
          </cell>
          <cell r="F167">
            <v>45016</v>
          </cell>
          <cell r="G167" t="str">
            <v>SALİH SERKAN ERÇİN</v>
          </cell>
          <cell r="H167" t="str">
            <v>VELİ GÖK</v>
          </cell>
        </row>
        <row r="168">
          <cell r="C168" t="str">
            <v>Hurdacılar Kepez</v>
          </cell>
          <cell r="D168" t="str">
            <v>Şelale mah.Hacı Durmuş cad.65/A Kepez Antalya</v>
          </cell>
          <cell r="E168" t="str">
            <v>KEPEZ</v>
          </cell>
          <cell r="F168">
            <v>45077</v>
          </cell>
          <cell r="G168" t="str">
            <v>TUĞBA ALDI</v>
          </cell>
          <cell r="H168" t="str">
            <v>VELİ GÖK</v>
          </cell>
        </row>
        <row r="169">
          <cell r="C169" t="str">
            <v>Turgay Koca Kepez</v>
          </cell>
          <cell r="D169" t="str">
            <v>Ayanoğlu mahallesi.General Hulusi Kayın caddesi. No:42/B</v>
          </cell>
          <cell r="E169" t="str">
            <v>KEPEZ</v>
          </cell>
          <cell r="F169">
            <v>45084</v>
          </cell>
          <cell r="G169" t="str">
            <v>SELİM GÜNDÜZ</v>
          </cell>
          <cell r="H169" t="str">
            <v>ŞADAN YURDAKUL</v>
          </cell>
        </row>
        <row r="170">
          <cell r="C170" t="str">
            <v>Işıklar</v>
          </cell>
          <cell r="D170" t="str">
            <v>Gençlik mah.ışıklar cad dış kapı no:43 avşaroğlu cade apt bağımsız bölüm no :29 ve 30</v>
          </cell>
          <cell r="E170" t="str">
            <v>MURATPAŞA</v>
          </cell>
          <cell r="F170">
            <v>46029</v>
          </cell>
          <cell r="G170" t="str">
            <v>MEHMET KÜÇÜKOĞLU</v>
          </cell>
          <cell r="H170" t="str">
            <v>GİZEM TOSUN</v>
          </cell>
        </row>
        <row r="171">
          <cell r="C171" t="str">
            <v>Meltem Muratpaşa Antalya</v>
          </cell>
          <cell r="D171" t="str">
            <v>Meltem mah. 3807 Sokak. Anakent Sit. B2 Blok No :9 D / 1 (2312243435)</v>
          </cell>
          <cell r="E171" t="str">
            <v>MURATPAŞA</v>
          </cell>
          <cell r="F171">
            <v>45138</v>
          </cell>
          <cell r="G171" t="str">
            <v>İBRAHİM DURBALİ</v>
          </cell>
          <cell r="H171" t="str">
            <v>ALİ AKÇAY</v>
          </cell>
        </row>
        <row r="172">
          <cell r="C172" t="str">
            <v>Kızıl Saray Muratpaşa/Antalya</v>
          </cell>
          <cell r="D172" t="str">
            <v>Kızılsaray Mahallesi, 68.Sokak, No:127 Muratpaşa/Antalya</v>
          </cell>
          <cell r="E172" t="str">
            <v>MURATPAŞA</v>
          </cell>
          <cell r="F172">
            <v>45504</v>
          </cell>
          <cell r="G172" t="str">
            <v>MEHMET KÜÇÜKOĞLU</v>
          </cell>
          <cell r="H172" t="str">
            <v>GİZEM TOSUN</v>
          </cell>
        </row>
        <row r="173">
          <cell r="C173" t="str">
            <v>Adliye Muratpaşa Antalya</v>
          </cell>
          <cell r="D173" t="str">
            <v>Bayındır mh.322 sokak.Doğan Apt. No:47/A Muratpaşa /Antalya</v>
          </cell>
          <cell r="E173" t="str">
            <v>MURATPAŞA</v>
          </cell>
          <cell r="F173">
            <v>45199</v>
          </cell>
          <cell r="G173" t="str">
            <v>ÖZKAN DEMİR</v>
          </cell>
          <cell r="H173" t="str">
            <v>ALİ AKÇAY</v>
          </cell>
        </row>
        <row r="174">
          <cell r="C174" t="str">
            <v>Nene Hatun Kepez Antalya</v>
          </cell>
          <cell r="D174" t="str">
            <v>Göksu mahallesi. Nene Hatun Caddesi No :7/A Kepez/Antalya</v>
          </cell>
          <cell r="E174" t="str">
            <v>KEPEZ</v>
          </cell>
          <cell r="F174">
            <v>45209</v>
          </cell>
          <cell r="G174" t="str">
            <v>SİNEM ÖZKAYA</v>
          </cell>
          <cell r="H174" t="str">
            <v>ŞADAN YURDAKUL</v>
          </cell>
        </row>
        <row r="175">
          <cell r="C175" t="str">
            <v>Milli Egemenlik Muratpaşa ANTALYA</v>
          </cell>
          <cell r="D175" t="str">
            <v>Kışla Mah. Milli Egemenlik Cad. 24K Muratpaşa / Antalya (1450388895) (42 sokak No:2A Muratpaşa Antalya</v>
          </cell>
          <cell r="E175" t="str">
            <v>MURATPAŞA</v>
          </cell>
          <cell r="F175">
            <v>42228</v>
          </cell>
          <cell r="G175" t="str">
            <v>MEHMET KÜÇÜKOĞLU</v>
          </cell>
          <cell r="H175" t="str">
            <v>GİZEM TOSUN</v>
          </cell>
        </row>
        <row r="176">
          <cell r="C176" t="str">
            <v>Nirivana Kepez Antalya</v>
          </cell>
          <cell r="D176" t="str">
            <v>Habibler mah.Elmalılı Hamdi Yazır cad. No:87A Kepez/Antalya</v>
          </cell>
          <cell r="E176" t="str">
            <v>KEPEZ</v>
          </cell>
          <cell r="F176">
            <v>45289</v>
          </cell>
          <cell r="G176" t="str">
            <v>RAMAZAN ÇATALTAŞ</v>
          </cell>
          <cell r="H176" t="str">
            <v>ŞADAN YURDAKUL</v>
          </cell>
        </row>
        <row r="177">
          <cell r="C177" t="str">
            <v>Ata Park Muratpaşa Antalya</v>
          </cell>
          <cell r="D177" t="str">
            <v>Güzeoba mah.2253 sokak (KOZAN SOKAK) Nazmiye Öz Apart.  no:11/A 11/B</v>
          </cell>
          <cell r="E177" t="str">
            <v>MURATPAŞA</v>
          </cell>
          <cell r="F177">
            <v>45290</v>
          </cell>
          <cell r="G177" t="str">
            <v>ÇAĞRI YALÇIN</v>
          </cell>
          <cell r="H177" t="str">
            <v>VELİ GÖK</v>
          </cell>
        </row>
        <row r="178">
          <cell r="C178" t="str">
            <v>Kanal Yolu Kepez Antalya</v>
          </cell>
          <cell r="D178" t="str">
            <v>Ayanoğlu mah.Şehit Musa Özkan Cd. No:35/A-B</v>
          </cell>
          <cell r="E178" t="str">
            <v>KEPEZ</v>
          </cell>
          <cell r="F178">
            <v>45291</v>
          </cell>
          <cell r="G178" t="str">
            <v>SELİM GÜNDÜZ</v>
          </cell>
          <cell r="H178" t="str">
            <v>ŞADAN YURDAKUL</v>
          </cell>
        </row>
        <row r="179">
          <cell r="C179" t="str">
            <v>Erbakan Kepez Antalya</v>
          </cell>
          <cell r="D179" t="str">
            <v>Habipler Mh. Prof Dr. Necmettin Erbakan Cd.  Fatih Apt. No:35/1AA</v>
          </cell>
          <cell r="E179" t="str">
            <v>KEPEZ</v>
          </cell>
          <cell r="F179">
            <v>45307</v>
          </cell>
          <cell r="G179" t="str">
            <v>YUNUS BAYSAL</v>
          </cell>
          <cell r="H179" t="str">
            <v>ŞADAN YURDAKUL</v>
          </cell>
        </row>
        <row r="180">
          <cell r="C180" t="str">
            <v>Kütüphane Kepez Antalya</v>
          </cell>
          <cell r="D180" t="str">
            <v>Teomanpaşa mahallesi Necip Fazıl Kısakürek caddesi No:19/A Kepez/Antalya</v>
          </cell>
          <cell r="E180" t="str">
            <v>KEPEZ</v>
          </cell>
          <cell r="F180">
            <v>45321</v>
          </cell>
          <cell r="G180" t="str">
            <v>KADİR ÇETİN</v>
          </cell>
          <cell r="H180" t="str">
            <v>VELİ GÖK</v>
          </cell>
        </row>
        <row r="181">
          <cell r="C181" t="str">
            <v>Farabi Kepez Antalya</v>
          </cell>
          <cell r="D181" t="str">
            <v>Göksu mah.Farabi Cad. Fatma Hanım Apt. No:13/A</v>
          </cell>
          <cell r="E181" t="str">
            <v>KEPEZ</v>
          </cell>
          <cell r="F181">
            <v>45322</v>
          </cell>
          <cell r="G181" t="str">
            <v>SİNEM ÖZKAYA</v>
          </cell>
          <cell r="H181" t="str">
            <v>ŞADAN YURDAKUL</v>
          </cell>
        </row>
        <row r="182">
          <cell r="C182" t="str">
            <v>Meriç Muratpaşa Antalya</v>
          </cell>
          <cell r="D182" t="str">
            <v>Güzeloba mah.2239 sokak No:10A/A 10A/B</v>
          </cell>
          <cell r="E182" t="str">
            <v>MURATPAŞA</v>
          </cell>
          <cell r="F182">
            <v>45322</v>
          </cell>
          <cell r="G182" t="str">
            <v>EMRAH AKINCI</v>
          </cell>
          <cell r="H182" t="str">
            <v>ALİ AKÇAY</v>
          </cell>
        </row>
        <row r="183">
          <cell r="C183" t="str">
            <v>Pınar Caddesi Muratpaşa Antalya</v>
          </cell>
          <cell r="D183" t="str">
            <v>Bayındır Mah.Pınar cad.Avcı Apt. No:12/A 12/B Muratpaşa/Antalya</v>
          </cell>
          <cell r="E183" t="str">
            <v>MURATPAŞA</v>
          </cell>
          <cell r="F183">
            <v>45322</v>
          </cell>
          <cell r="G183" t="str">
            <v>ÜMİT KIRBAŞ</v>
          </cell>
          <cell r="H183" t="str">
            <v>ALİ AKÇAY</v>
          </cell>
        </row>
        <row r="184">
          <cell r="C184" t="str">
            <v>Şerife Tufan Kepez Antalya</v>
          </cell>
          <cell r="D184" t="str">
            <v>Mehmet Akif Ersoy mah. 6758 sokak No:10/B</v>
          </cell>
          <cell r="E184" t="str">
            <v>KEPEZ</v>
          </cell>
          <cell r="F184">
            <v>45322</v>
          </cell>
          <cell r="G184" t="str">
            <v>SALİH SERKAN ERÇİN</v>
          </cell>
          <cell r="H184" t="str">
            <v>VELİ GÖK</v>
          </cell>
        </row>
        <row r="185">
          <cell r="C185" t="str">
            <v>Acil Kepez Antalya</v>
          </cell>
          <cell r="D185" t="str">
            <v>Hüsnü Karakaş mah.3509 sokak.7A/1 A1 BLOK Kepez/Antalya</v>
          </cell>
          <cell r="E185" t="str">
            <v>KEPEZ</v>
          </cell>
          <cell r="F185">
            <v>45348</v>
          </cell>
          <cell r="G185" t="str">
            <v>SALİH SERKAN ERÇİN</v>
          </cell>
          <cell r="H185" t="str">
            <v>VELİ GÖK</v>
          </cell>
        </row>
        <row r="186">
          <cell r="C186" t="str">
            <v>Yener Ulusoy Muratpaşa Antalya</v>
          </cell>
          <cell r="D186" t="str">
            <v>Kızılsaray Mah. 88 Sokak M. Salih Neşşer Apt. Altı NO:8 A  Muratpaşa Antalya (1339315424)</v>
          </cell>
          <cell r="E186" t="str">
            <v>MURATPAŞA</v>
          </cell>
          <cell r="F186">
            <v>43097</v>
          </cell>
          <cell r="G186" t="str">
            <v>MEHMET KÜÇÜKOĞLU</v>
          </cell>
          <cell r="H186" t="str">
            <v>GİZEM TOSUN</v>
          </cell>
        </row>
        <row r="187">
          <cell r="C187" t="str">
            <v>Yalı Muratpaşa Antalya</v>
          </cell>
          <cell r="D187" t="str">
            <v>Çağlayan mah.Fener caddesi Seyhan Apt.No:74/A Muratpaşa/Antalya</v>
          </cell>
          <cell r="E187" t="str">
            <v>MURATPAŞA</v>
          </cell>
          <cell r="F187">
            <v>45351</v>
          </cell>
          <cell r="G187" t="str">
            <v>ERDAL ARSLAN</v>
          </cell>
          <cell r="H187" t="str">
            <v>ŞADAN YURDAKUL</v>
          </cell>
        </row>
        <row r="188">
          <cell r="C188" t="str">
            <v>Ekpa Kepez Antalya</v>
          </cell>
          <cell r="D188" t="str">
            <v>Güneş mah. Şehit Astsubay Ömer Halis Demir Cad. A2 Blok No:95</v>
          </cell>
          <cell r="E188" t="str">
            <v>KEPEZ</v>
          </cell>
          <cell r="F188">
            <v>45381</v>
          </cell>
          <cell r="G188" t="str">
            <v>KERİM YÜREKLİ</v>
          </cell>
          <cell r="H188" t="str">
            <v>VELİ GÖK</v>
          </cell>
        </row>
        <row r="189">
          <cell r="C189" t="str">
            <v>Serden Geçti Kepez Antalya</v>
          </cell>
          <cell r="D189" t="str">
            <v>Teomanpaşa Mh, Osman Yüksel Serden Geçti Cad, No:10 3.N.B.B.</v>
          </cell>
          <cell r="E189" t="str">
            <v>KEPEZ</v>
          </cell>
          <cell r="F189">
            <v>45436</v>
          </cell>
          <cell r="G189" t="str">
            <v>KERİM YÜREKLİ</v>
          </cell>
          <cell r="H189" t="str">
            <v>VELİ GÖK</v>
          </cell>
        </row>
        <row r="190">
          <cell r="C190" t="str">
            <v>15 Katlılar Kepez Antalya</v>
          </cell>
          <cell r="D190" t="str">
            <v>Mehmet Akif Ersoy mh. 15 Temmuz Şehitler cd. No:83/AA 13.N.B.B. - 83/AB 14.N.B.B. - 83/AC 15. N.B.B.  Kepez/Antalya</v>
          </cell>
          <cell r="E190" t="str">
            <v>KEPEZ</v>
          </cell>
          <cell r="F190">
            <v>45443</v>
          </cell>
          <cell r="G190" t="str">
            <v>SALİH SERKAN ERÇİN</v>
          </cell>
          <cell r="H190" t="str">
            <v>VELİ GÖK</v>
          </cell>
        </row>
        <row r="191">
          <cell r="C191" t="str">
            <v>Selçuklu Kepez Antalya</v>
          </cell>
          <cell r="D191" t="str">
            <v>Habipler Mah, 5569 sk, No:11A / 11B,  5.-6. N.B.B.</v>
          </cell>
          <cell r="E191" t="str">
            <v>KEPEZ</v>
          </cell>
          <cell r="F191">
            <v>45458</v>
          </cell>
          <cell r="G191" t="str">
            <v>SELİM GÜNDÜZ</v>
          </cell>
          <cell r="H191" t="str">
            <v>ŞADAN YURDAKUL</v>
          </cell>
        </row>
        <row r="192">
          <cell r="C192" t="str">
            <v>Kapalı Yol Muratpaşa/Antalya</v>
          </cell>
          <cell r="D192" t="str">
            <v>Üçgen Mahallesi, Şarampol Caddesii, İbrahim Kortenli Apart. No:133A Muratpaşa/Antalya</v>
          </cell>
          <cell r="E192" t="str">
            <v>MURATPAŞA</v>
          </cell>
          <cell r="F192">
            <v>45502</v>
          </cell>
          <cell r="G192" t="str">
            <v>ÜMİT KIRBAŞ</v>
          </cell>
          <cell r="H192" t="str">
            <v>ALİ AKÇAY</v>
          </cell>
        </row>
        <row r="193">
          <cell r="C193" t="str">
            <v>Yeni Üç Kapılar Muratpaşa Antalya</v>
          </cell>
          <cell r="D193" t="str">
            <v>Sinan Mah. Arık Cad. Oğuzcan Aprt. No:41/21-22 Muratpaşa/Antalya</v>
          </cell>
          <cell r="E193" t="str">
            <v>MURATPAŞA</v>
          </cell>
          <cell r="F193">
            <v>45741</v>
          </cell>
          <cell r="G193" t="str">
            <v>MEHMET KÜÇÜKOĞLU</v>
          </cell>
          <cell r="H193" t="str">
            <v>GİZEM TOSUN</v>
          </cell>
        </row>
        <row r="194">
          <cell r="C194" t="str">
            <v>Işık Caddesi Kepez/Antalya</v>
          </cell>
          <cell r="D194" t="str">
            <v>Karşıyaka Mahellesi, 3931 Sokak, Keleş Apartmanı, No:27A/B Kepez Antalya</v>
          </cell>
          <cell r="E194" t="str">
            <v>KEPEZ</v>
          </cell>
          <cell r="F194">
            <v>45528</v>
          </cell>
          <cell r="G194" t="str">
            <v>MUHAMMED BAŞARAN</v>
          </cell>
          <cell r="H194" t="str">
            <v>GİZEM TOSUN</v>
          </cell>
        </row>
        <row r="195">
          <cell r="C195" t="str">
            <v>Kahve Çekirdeği Kepez Antalya</v>
          </cell>
          <cell r="D195" t="str">
            <v>Karşıyaka Mah Yıldırım Beyazıt Cad. No:48/A  Kepez / Antalya (1771900170)</v>
          </cell>
          <cell r="E195" t="str">
            <v>KEPEZ</v>
          </cell>
          <cell r="F195">
            <v>44915</v>
          </cell>
          <cell r="G195" t="str">
            <v>MUHAMMED BAŞARAN</v>
          </cell>
          <cell r="H195" t="str">
            <v>GİZEM TOSUN</v>
          </cell>
        </row>
        <row r="196">
          <cell r="C196" t="str">
            <v>Yahya Kemal Kepez/Antalya</v>
          </cell>
          <cell r="D196" t="str">
            <v>Ulus Mahallesi, Mehmet Akif Caddesi, İbrişim Apart. No: 52/1-2 Kepez Antalya</v>
          </cell>
          <cell r="E196" t="str">
            <v>KEPEZ</v>
          </cell>
          <cell r="F196">
            <v>45565</v>
          </cell>
          <cell r="G196" t="str">
            <v>FİKRET HOCA</v>
          </cell>
          <cell r="H196" t="str">
            <v>ALİ AKÇAY</v>
          </cell>
        </row>
        <row r="197">
          <cell r="C197" t="str">
            <v>Esentepe Kepez Antalya</v>
          </cell>
          <cell r="D197" t="str">
            <v>Esentepe Mh. Şahinbey Caddesi No : 1-2 Kepez / Antalya</v>
          </cell>
          <cell r="E197" t="str">
            <v>KEPEZ</v>
          </cell>
          <cell r="F197">
            <v>45656</v>
          </cell>
          <cell r="G197" t="str">
            <v>SELİM GÜNDÜZ</v>
          </cell>
          <cell r="H197" t="str">
            <v>ŞADAN YURDAKUL</v>
          </cell>
        </row>
        <row r="198">
          <cell r="C198" t="str">
            <v>Yeni Niğdeli Parkı Kepez/Antalya</v>
          </cell>
          <cell r="D198" t="str">
            <v>Mehmet Akif Ersoy Mh, Sütçüler Cd. No:22 Kepez Antalya</v>
          </cell>
          <cell r="E198" t="str">
            <v>KEPEZ</v>
          </cell>
          <cell r="F198">
            <v>45673</v>
          </cell>
          <cell r="G198" t="str">
            <v>TUĞBA ALDI</v>
          </cell>
          <cell r="H198" t="str">
            <v>VELİ GÖK</v>
          </cell>
        </row>
        <row r="199">
          <cell r="C199" t="str">
            <v>Karayusuf Kepez Antalya</v>
          </cell>
          <cell r="D199" t="str">
            <v>Karşıyaka Mh. Karayusuf Cd. No:11 Kepez ANTALYA</v>
          </cell>
          <cell r="E199" t="str">
            <v>KEPEZ</v>
          </cell>
          <cell r="F199">
            <v>41482</v>
          </cell>
          <cell r="G199" t="str">
            <v>MUHAMMED BAŞARAN</v>
          </cell>
          <cell r="H199" t="str">
            <v>GİZEM TOSUN</v>
          </cell>
        </row>
        <row r="200">
          <cell r="C200" t="str">
            <v>Karşıyaka Kepez Antalya</v>
          </cell>
          <cell r="D200" t="str">
            <v>Karşıyaka Mh. 3934 Sk. No:61/10-11  Kepez ANTALYA</v>
          </cell>
          <cell r="E200" t="str">
            <v>KEPEZ</v>
          </cell>
          <cell r="F200">
            <v>40688</v>
          </cell>
          <cell r="G200" t="str">
            <v>MUHAMMED BAŞARAN</v>
          </cell>
          <cell r="H200" t="str">
            <v>GİZEM TOSUN</v>
          </cell>
        </row>
        <row r="201">
          <cell r="C201" t="str">
            <v>Neşet Ertaş Muratpaşa Antalya</v>
          </cell>
          <cell r="D201" t="str">
            <v>Güzeloba mahallesi, Havaalanı Cad. No:71 A/D Muratpaşa/Antalya</v>
          </cell>
          <cell r="E201" t="str">
            <v>MURATPAŞA</v>
          </cell>
          <cell r="F201">
            <v>45764</v>
          </cell>
          <cell r="G201" t="str">
            <v>TUĞÇE KOCABAŞ</v>
          </cell>
          <cell r="H201" t="str">
            <v>VELİ GÖK</v>
          </cell>
        </row>
        <row r="202">
          <cell r="C202" t="str">
            <v>Ören Şehir Camii Kepez Antalya</v>
          </cell>
          <cell r="D202" t="str">
            <v>Karşıyaka Mh. Karayusuf Cd. Yanık Apt. No: 45 A/B Kepez ANTALYA</v>
          </cell>
          <cell r="E202" t="str">
            <v>KEPEZ</v>
          </cell>
          <cell r="F202">
            <v>43186</v>
          </cell>
          <cell r="G202" t="str">
            <v>MUHAMMED BAŞARAN</v>
          </cell>
          <cell r="H202" t="str">
            <v>GİZEM TOSUN</v>
          </cell>
        </row>
        <row r="203">
          <cell r="C203" t="str">
            <v>Yaka Kepez Antalya</v>
          </cell>
          <cell r="D203" t="str">
            <v>Karşıyaka Mh. 3927 Sk. No:22 A Kepez Antalya</v>
          </cell>
          <cell r="E203" t="str">
            <v>KEPEZ</v>
          </cell>
          <cell r="F203">
            <v>43675</v>
          </cell>
          <cell r="G203" t="str">
            <v>MUHAMMED BAŞARAN</v>
          </cell>
          <cell r="H203" t="str">
            <v>GİZEM TOSUN</v>
          </cell>
        </row>
        <row r="204">
          <cell r="C204" t="str">
            <v>Yükseliş Mh Kepez Antalya</v>
          </cell>
          <cell r="D204" t="str">
            <v>Yükseliş Mh. 2128 Sk No: 5A-5B-5C Kepez ANTALYA</v>
          </cell>
          <cell r="E204" t="str">
            <v>KEPEZ</v>
          </cell>
          <cell r="F204">
            <v>42551</v>
          </cell>
          <cell r="G204" t="str">
            <v>MUHAMMED BAŞARAN</v>
          </cell>
          <cell r="H204" t="str">
            <v>GİZEM TOSUN</v>
          </cell>
        </row>
        <row r="205">
          <cell r="C205" t="str">
            <v>Ahmet Yesevi</v>
          </cell>
          <cell r="D205" t="str">
            <v>Cumhuriyet Mah. 643 sok. no:18 Muratpaşa/Antalya</v>
          </cell>
          <cell r="E205" t="str">
            <v>MURATPAŞA</v>
          </cell>
          <cell r="F205">
            <v>45953</v>
          </cell>
          <cell r="G205" t="str">
            <v>NESLİHAN ÖZYURT</v>
          </cell>
          <cell r="H205" t="str">
            <v>ALİ AKÇAY</v>
          </cell>
        </row>
        <row r="206">
          <cell r="C206" t="str">
            <v>Ulubatlı Kepez</v>
          </cell>
          <cell r="D206" t="str">
            <v>Ayanoğlu mahallesi 1825 sokak no:3/B Kepez/Antalya</v>
          </cell>
          <cell r="E206" t="str">
            <v>KEPEZ</v>
          </cell>
          <cell r="F206">
            <v>45979</v>
          </cell>
          <cell r="G206" t="str">
            <v>YUNUS BAYSAL</v>
          </cell>
          <cell r="H206" t="str">
            <v>ŞADAN YURDAKUL</v>
          </cell>
        </row>
        <row r="207">
          <cell r="C207" t="str">
            <v>Zübeyde Hanım KEPEZ/ Antalya</v>
          </cell>
          <cell r="D207" t="str">
            <v>Zafer Mah.2628 sok.No:1/3 Kömürcü Apt Kepez/Antalya</v>
          </cell>
          <cell r="E207" t="str">
            <v>KEPEZ</v>
          </cell>
          <cell r="F207">
            <v>45918</v>
          </cell>
          <cell r="G207" t="str">
            <v>MUHAMMED BAŞARAN</v>
          </cell>
          <cell r="H207" t="str">
            <v>GİZEM TOSUN</v>
          </cell>
        </row>
        <row r="209">
          <cell r="C209" t="str">
            <v>ANTALYA MERKEZ</v>
          </cell>
        </row>
        <row r="210">
          <cell r="C210" t="str">
            <v>Kepez: 81</v>
          </cell>
        </row>
        <row r="211">
          <cell r="C211" t="str">
            <v>Muratpaşa:124</v>
          </cell>
        </row>
        <row r="212">
          <cell r="C212" t="str">
            <v>Toplam:205</v>
          </cell>
        </row>
        <row r="216">
          <cell r="C216" t="str">
            <v>Havalimanı Muratpaşa Antalya</v>
          </cell>
          <cell r="D216" t="str">
            <v>Güzeloba Mah. Havaalanı Cad. 2272 Sok. Ülker Apt. Sit. (TAPU B.B. NO:3(TALİ KAPI)Apt.No:2A Muratpaşa/Antalya</v>
          </cell>
          <cell r="E216" t="str">
            <v>MURATPAŞA</v>
          </cell>
          <cell r="F216">
            <v>43984</v>
          </cell>
          <cell r="G216" t="str">
            <v>EMRAH AKINCI</v>
          </cell>
          <cell r="H216" t="str">
            <v>ALİ AKÇAY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3"/>
      <sheetName val="MURATPAŞA BÖLGE"/>
      <sheetName val="Sayfa2"/>
      <sheetName val="MURATPAŞA BÖLGE (2)"/>
      <sheetName val="GEÇİCİ KAPAMA"/>
      <sheetName val="AKCAN ERDİ BEY"/>
      <sheetName val="KAPANAN"/>
      <sheetName val="TAŞINAN"/>
      <sheetName val="LARGE"/>
      <sheetName val="DEVRALINAN"/>
      <sheetName val="TADİLAT MAĞAZALARI"/>
      <sheetName val="ÖZET"/>
    </sheetNames>
    <sheetDataSet>
      <sheetData sheetId="0"/>
      <sheetData sheetId="1"/>
      <sheetData sheetId="2">
        <row r="1">
          <cell r="C1" t="str">
            <v>MARKET ADI</v>
          </cell>
          <cell r="D1" t="str">
            <v>MARKET ADRESİ</v>
          </cell>
          <cell r="E1" t="str">
            <v>İLÇE</v>
          </cell>
          <cell r="F1" t="str">
            <v>AÇILIŞ
TARİHİ</v>
          </cell>
          <cell r="G1" t="str">
            <v>BS</v>
          </cell>
          <cell r="H1" t="str">
            <v>SM</v>
          </cell>
        </row>
        <row r="2">
          <cell r="C2" t="str">
            <v>Bayındır Muratpaşa Antalya</v>
          </cell>
          <cell r="D2" t="str">
            <v>Soğuksu Mh. 300 Sk. Hakverdi Apt. No:36/1 Muratpaşa ANTALYA</v>
          </cell>
          <cell r="E2" t="str">
            <v>MURATPAŞA</v>
          </cell>
          <cell r="F2">
            <v>39570</v>
          </cell>
          <cell r="G2" t="str">
            <v>ÜMİT KIRBAŞ</v>
          </cell>
          <cell r="H2" t="str">
            <v>ALİ AKÇAY</v>
          </cell>
        </row>
        <row r="3">
          <cell r="C3" t="str">
            <v>Portakalçiçeği / ANTALYA</v>
          </cell>
          <cell r="D3" t="str">
            <v>Yeşilbahçe Mah.1466 Sok.Ata Apt.Altı No:29/A Antalya</v>
          </cell>
          <cell r="E3" t="str">
            <v>MURATPAŞA</v>
          </cell>
          <cell r="F3">
            <v>39573</v>
          </cell>
          <cell r="G3" t="str">
            <v>TUĞÇE KOCABAŞ</v>
          </cell>
          <cell r="H3" t="str">
            <v>VELİ GÖK</v>
          </cell>
        </row>
        <row r="4">
          <cell r="C4" t="str">
            <v>Aşık Veysel Muratpaşa Antalya</v>
          </cell>
          <cell r="D4" t="str">
            <v>Yeşildere Mah. 2830(1162) Sok. No: 12 A / Muratpaşa Antalya (3934905088)</v>
          </cell>
          <cell r="E4" t="str">
            <v>MURATPAŞA</v>
          </cell>
          <cell r="F4">
            <v>44355</v>
          </cell>
          <cell r="G4" t="str">
            <v>DOĞAN İSTEMİHAN</v>
          </cell>
          <cell r="H4" t="str">
            <v>GİZEM TOSUN</v>
          </cell>
        </row>
        <row r="5">
          <cell r="C5" t="str">
            <v>Gebizli Muratpaşa Antalya</v>
          </cell>
          <cell r="D5" t="str">
            <v>Gebizli Mahallesi 1101 sokak B blok 3B/1 Muratpaşa Antalya (1962769814)</v>
          </cell>
          <cell r="E5" t="str">
            <v>MURATPAŞA</v>
          </cell>
          <cell r="F5">
            <v>43006</v>
          </cell>
          <cell r="G5" t="str">
            <v>DOĞAN İSTEMİHAN</v>
          </cell>
          <cell r="H5" t="str">
            <v>GİZEM TOSUN</v>
          </cell>
        </row>
        <row r="6">
          <cell r="C6" t="str">
            <v>Güllük Muratpaşa Antalya</v>
          </cell>
          <cell r="D6" t="str">
            <v>Altındağ Mh. Güllük Cd. No:85 A.B.C.F Muratpaşa ANTALYA</v>
          </cell>
          <cell r="E6" t="str">
            <v>MURATPAŞA</v>
          </cell>
          <cell r="F6">
            <v>39708</v>
          </cell>
          <cell r="G6" t="str">
            <v>İBRAHİM DURBALİ</v>
          </cell>
          <cell r="H6" t="str">
            <v>ALİ AKÇAY</v>
          </cell>
        </row>
        <row r="7">
          <cell r="C7" t="str">
            <v>Kızıltoprak / ANTALYA</v>
          </cell>
          <cell r="D7" t="str">
            <v>Kızıltoprak Mah.Şehit Ercan Cad. Ayşe Adakan Apt.No:9 ANTALYA</v>
          </cell>
          <cell r="E7" t="str">
            <v>MURATPAŞA</v>
          </cell>
          <cell r="F7">
            <v>40596</v>
          </cell>
          <cell r="G7" t="str">
            <v>DOĞAN İSTEMİHAN</v>
          </cell>
          <cell r="H7" t="str">
            <v>GİZEM TOSUN</v>
          </cell>
        </row>
        <row r="8">
          <cell r="C8" t="str">
            <v>Dokuma KEPEZ Antalya</v>
          </cell>
          <cell r="D8" t="str">
            <v>Özgürlük Mh. Mithatpaşa Cd. Mülazımoğulları Apt. No:97/A Kepez ANTALYA</v>
          </cell>
          <cell r="E8" t="str">
            <v>KEPEZ</v>
          </cell>
          <cell r="F8">
            <v>39928</v>
          </cell>
          <cell r="G8" t="str">
            <v>KILIÇASLAN İYİCAN</v>
          </cell>
          <cell r="H8" t="str">
            <v>ALİ AKÇAY</v>
          </cell>
        </row>
        <row r="9">
          <cell r="C9" t="str">
            <v>Tonguç / ANTALYA</v>
          </cell>
          <cell r="D9" t="str">
            <v>Muratpaşa Mah. Tonguç Cad.568 Sok. M.Sırma Apt. No:71/1 ANTALYA</v>
          </cell>
          <cell r="E9" t="str">
            <v>MURATPAŞA</v>
          </cell>
          <cell r="F9">
            <v>39977</v>
          </cell>
          <cell r="G9" t="str">
            <v>ÜMİT KIRBAŞ</v>
          </cell>
          <cell r="H9" t="str">
            <v>ALİ AKÇAY</v>
          </cell>
        </row>
        <row r="10">
          <cell r="C10" t="str">
            <v>Güzeloba / ANTALYA</v>
          </cell>
          <cell r="D10" t="str">
            <v>Güzeloba Mah. Havaalanı Cad. Kader 2 Sok. Hasibe Köse Apt. No:2 Güzeloba  Muratpaşa/ ANTALYA</v>
          </cell>
          <cell r="E10" t="str">
            <v>MURATPAŞA</v>
          </cell>
          <cell r="F10">
            <v>40085</v>
          </cell>
          <cell r="G10" t="str">
            <v>ÇAĞRI YALÇIN</v>
          </cell>
          <cell r="H10" t="str">
            <v>VELİ GÖK</v>
          </cell>
        </row>
        <row r="11">
          <cell r="C11" t="str">
            <v>Perge Bulvarı / ANTALYA</v>
          </cell>
          <cell r="D11" t="str">
            <v>Meydan Kavağı Mah. Perge Bulvarı.Gündoğdu sitesi No:20/3-4 ANTALYA</v>
          </cell>
          <cell r="E11" t="str">
            <v>MURATPAŞA</v>
          </cell>
          <cell r="F11">
            <v>40221</v>
          </cell>
          <cell r="G11" t="str">
            <v>TUĞÇE KOCABAŞ</v>
          </cell>
          <cell r="H11" t="str">
            <v>VELİ GÖK</v>
          </cell>
        </row>
        <row r="12">
          <cell r="C12" t="str">
            <v>Çağlayan Mah. / ANTALYA</v>
          </cell>
          <cell r="D12" t="str">
            <v>Çağlayan Mah. Bülent Ecevit Bulvarı.2093 Sok. Çam Sitesi.D Blok.No:2/1 ANTALYA</v>
          </cell>
          <cell r="E12" t="str">
            <v>MURATPAŞA</v>
          </cell>
          <cell r="F12">
            <v>40325</v>
          </cell>
          <cell r="G12" t="str">
            <v>ÇAĞRI YALÇIN</v>
          </cell>
          <cell r="H12" t="str">
            <v>VELİ GÖK</v>
          </cell>
        </row>
        <row r="13">
          <cell r="C13" t="str">
            <v>Yıldız Muratpaşa Antalya</v>
          </cell>
          <cell r="D13" t="str">
            <v>Yıldız Mh. Piri Reis Cd. No:56 Muratpaşa ANTALYA</v>
          </cell>
          <cell r="E13" t="str">
            <v>MURATPAŞA</v>
          </cell>
          <cell r="F13">
            <v>40436</v>
          </cell>
          <cell r="G13" t="str">
            <v>ÖZKAN DEMİR</v>
          </cell>
          <cell r="H13" t="str">
            <v>ALİ AKÇAY</v>
          </cell>
        </row>
        <row r="14">
          <cell r="C14" t="str">
            <v>Muhtarlık Muratpaşa/Antalya</v>
          </cell>
          <cell r="D14" t="str">
            <v>Gebizli mahallesi, İbni Sina Caddesi, Gebizli Muhtarlık Karşısı No:52A Muratpaşa/Antalya</v>
          </cell>
          <cell r="E14" t="str">
            <v>MURATPAŞA</v>
          </cell>
          <cell r="F14">
            <v>45503</v>
          </cell>
          <cell r="G14" t="str">
            <v>DOĞAN İSTEMİHAN</v>
          </cell>
          <cell r="H14" t="str">
            <v>GİZEM TOSUN</v>
          </cell>
        </row>
        <row r="15">
          <cell r="C15" t="str">
            <v>Termessos Muratpaşa Antalya</v>
          </cell>
          <cell r="D15" t="str">
            <v>Mehmetçik Mahallesi Termessos Bulvarı No: 15 A Muratpaşa Antalya ( 1729977379 )</v>
          </cell>
          <cell r="E15" t="str">
            <v>MURATPAŞA</v>
          </cell>
          <cell r="F15">
            <v>42810</v>
          </cell>
          <cell r="G15" t="str">
            <v>DOĞAN İSTEMİHAN</v>
          </cell>
          <cell r="H15" t="str">
            <v>GİZEM TOSUN</v>
          </cell>
        </row>
        <row r="16">
          <cell r="C16" t="str">
            <v>Deniz Muratpaşa Antalya</v>
          </cell>
          <cell r="D16" t="str">
            <v>Deniz Mh. 122 Sk. Sedef Apt.No :8/ 1-2 Muratpaşa ANTALYA</v>
          </cell>
          <cell r="E16" t="str">
            <v>MURATPAŞA</v>
          </cell>
          <cell r="F16">
            <v>40600</v>
          </cell>
          <cell r="G16" t="str">
            <v>İBRAHİM DURBALİ</v>
          </cell>
          <cell r="H16" t="str">
            <v>ALİ AKÇAY</v>
          </cell>
        </row>
        <row r="17">
          <cell r="C17" t="str">
            <v>Yeşildere Muratpaşa Antalya</v>
          </cell>
          <cell r="D17" t="str">
            <v>Yeşildere Mah. 2830 Sok. No: 40 A Muratpaşa Antalya (1671479929)</v>
          </cell>
          <cell r="E17" t="str">
            <v>MURATPAŞA</v>
          </cell>
          <cell r="F17">
            <v>43396</v>
          </cell>
          <cell r="G17" t="str">
            <v>DOĞAN İSTEMİHAN</v>
          </cell>
          <cell r="H17" t="str">
            <v>GİZEM TOSUN</v>
          </cell>
        </row>
        <row r="18">
          <cell r="C18" t="str">
            <v>Bahçelievler Muratpaşa Antalya</v>
          </cell>
          <cell r="D18" t="str">
            <v>Varlık Mh. 175 Sk. No:4 A-B Muratpaşa ANTALYA</v>
          </cell>
          <cell r="E18" t="str">
            <v>MURATPAŞA</v>
          </cell>
          <cell r="F18">
            <v>40732</v>
          </cell>
          <cell r="G18" t="str">
            <v>İBRAHİM DURBALİ</v>
          </cell>
          <cell r="H18" t="str">
            <v>ALİ AKÇAY</v>
          </cell>
        </row>
        <row r="19">
          <cell r="C19" t="str">
            <v>Dutlubahçe / ANTALYA</v>
          </cell>
          <cell r="D19" t="str">
            <v>Dutlubahçe Mah.Fatih Cad.746 Sok.No:5 Muratpaşa / Antalya</v>
          </cell>
          <cell r="E19" t="str">
            <v>MURATPAŞA</v>
          </cell>
          <cell r="F19">
            <v>41162</v>
          </cell>
          <cell r="G19" t="str">
            <v>NESLİHAN ÖZYURT</v>
          </cell>
          <cell r="H19" t="str">
            <v>ALİ AKÇAY</v>
          </cell>
        </row>
        <row r="20">
          <cell r="C20" t="str">
            <v>Zeytinpark Muratpaşa Antalya</v>
          </cell>
          <cell r="D20" t="str">
            <v>Gebizli Mah. Aşık Veysel Cad. No:36 /1AB-36 /1AC Muratpaşa Antalya (3127326548) (2878940622)</v>
          </cell>
          <cell r="E20" t="str">
            <v>MURATPAŞA</v>
          </cell>
          <cell r="F20">
            <v>44880</v>
          </cell>
          <cell r="G20" t="str">
            <v>DOĞAN İSTEMİHAN</v>
          </cell>
          <cell r="H20" t="str">
            <v>GİZEM TOSUN</v>
          </cell>
        </row>
        <row r="21">
          <cell r="C21" t="str">
            <v>Bulvar Antalya Muratpaşa</v>
          </cell>
          <cell r="D21" t="str">
            <v>kızılarık mahallesi Köroğlu bulvarı no:3A Muratpaşa/antalya</v>
          </cell>
          <cell r="E21" t="str">
            <v>MURATPAŞA</v>
          </cell>
          <cell r="F21">
            <v>45930</v>
          </cell>
          <cell r="G21" t="str">
            <v>FATİH SERT</v>
          </cell>
          <cell r="H21" t="str">
            <v>GİZEM TOSUN</v>
          </cell>
        </row>
        <row r="22">
          <cell r="C22" t="str">
            <v>Üçgen Mah  / ANTALYA</v>
          </cell>
          <cell r="D22" t="str">
            <v>Üçgen Mah. 104 Sok. Doğan Apt. No : 1 / 3-4  Muratpaşa / ANTALYA</v>
          </cell>
          <cell r="E22" t="str">
            <v>MURATPAŞA</v>
          </cell>
          <cell r="F22">
            <v>41454</v>
          </cell>
          <cell r="G22" t="str">
            <v>ÜMİT KIRBAŞ</v>
          </cell>
          <cell r="H22" t="str">
            <v>ALİ AKÇAY</v>
          </cell>
        </row>
        <row r="23">
          <cell r="C23" t="str">
            <v>İmam Hatip Muratpaşa Antalya</v>
          </cell>
          <cell r="D23" t="str">
            <v>Kızılarık Mah. 2773 Sok. Dervişoğlu 6 Apt. Altı Sit. C Blok Apt.  No:9 A- 9 B Muratpaşa Antalya</v>
          </cell>
          <cell r="E23" t="str">
            <v>MURATPAŞA</v>
          </cell>
          <cell r="F23">
            <v>43523</v>
          </cell>
          <cell r="G23" t="str">
            <v>FATİH SERT</v>
          </cell>
          <cell r="H23" t="str">
            <v>GİZEM TOSUN</v>
          </cell>
        </row>
        <row r="24">
          <cell r="C24" t="str">
            <v>Muratpaşa / ANTALYA</v>
          </cell>
          <cell r="D24" t="str">
            <v>Muratpaşa Mah. 562 Sok. Aydıcan   Apt 2 No : 45 / A - B Muratpaşa ANTALYA</v>
          </cell>
          <cell r="E24" t="str">
            <v>MURATPAŞA</v>
          </cell>
          <cell r="F24">
            <v>41488</v>
          </cell>
          <cell r="G24" t="str">
            <v>ÜMİT KIRBAŞ</v>
          </cell>
          <cell r="H24" t="str">
            <v>ALİ AKÇAY</v>
          </cell>
        </row>
        <row r="25">
          <cell r="C25" t="str">
            <v>Cumhuriyet Muratpaşa Antalya</v>
          </cell>
          <cell r="D25" t="str">
            <v>Cumhuriyet Mah. 625 Sok. Özyörük Apt. No : 16 / 1 Muratpaşa / ANTALYA</v>
          </cell>
          <cell r="E25" t="str">
            <v>MURATPAŞA</v>
          </cell>
          <cell r="F25">
            <v>41514</v>
          </cell>
          <cell r="G25" t="str">
            <v>NESLİHAN ÖZYURT</v>
          </cell>
          <cell r="H25" t="str">
            <v>ALİ AKÇAY</v>
          </cell>
        </row>
        <row r="26">
          <cell r="C26" t="str">
            <v>Karacaoğlan / ANTALYA</v>
          </cell>
          <cell r="D26" t="str">
            <v>Etiler Mah. Karacaoğlan Cad. No:100 /1-2 nolu Dükkan Muratpaşa / ANTALYA</v>
          </cell>
          <cell r="E26" t="str">
            <v>MURATPAŞA</v>
          </cell>
          <cell r="F26">
            <v>41619</v>
          </cell>
          <cell r="G26" t="str">
            <v>FATİH SERT</v>
          </cell>
          <cell r="H26" t="str">
            <v>GİZEM TOSUN</v>
          </cell>
        </row>
        <row r="27">
          <cell r="C27" t="str">
            <v>Orduevi / ANTALYA</v>
          </cell>
          <cell r="D27" t="str">
            <v>Elmalı Mah.25.Sok.Esat Uluhan İşhanı No:9/A Muratpaşa/ANTALYA</v>
          </cell>
          <cell r="E27" t="str">
            <v>MURATPAŞA</v>
          </cell>
          <cell r="F27">
            <v>41620</v>
          </cell>
          <cell r="G27" t="str">
            <v>İBRAHİM DURBALİ</v>
          </cell>
          <cell r="H27" t="str">
            <v>ALİ AKÇAY</v>
          </cell>
        </row>
        <row r="28">
          <cell r="C28" t="str">
            <v>Pamir Muratpaşa Antalya</v>
          </cell>
          <cell r="D28" t="str">
            <v>Bahçelievler Mh. Pamir Cd. İbrahim Uzun Apt. No : 12 / 11 Muratpaşa ANTALYA</v>
          </cell>
          <cell r="E28" t="str">
            <v>MURATPAŞA</v>
          </cell>
          <cell r="F28">
            <v>41632</v>
          </cell>
          <cell r="G28" t="str">
            <v>İBRAHİM DURBALİ</v>
          </cell>
          <cell r="H28" t="str">
            <v>ALİ AKÇAY</v>
          </cell>
        </row>
        <row r="29">
          <cell r="C29" t="str">
            <v>Güneş Kepez Antalya</v>
          </cell>
          <cell r="D29" t="str">
            <v>Güneş Mh. Osman Yüksel Serden Geçti Cd. Karakuş Apt. No:112 10-11 Kepez ANTALYA</v>
          </cell>
          <cell r="E29" t="str">
            <v>KEPEZ</v>
          </cell>
          <cell r="F29">
            <v>41719</v>
          </cell>
          <cell r="G29" t="str">
            <v>KERİM YÜREKLİ</v>
          </cell>
          <cell r="H29" t="str">
            <v>VELİ GÖK</v>
          </cell>
        </row>
        <row r="30">
          <cell r="C30" t="str">
            <v>Kızılarık / ANTALYA</v>
          </cell>
          <cell r="D30" t="str">
            <v>Konuksever Mah.Kızılırmak Cad.Solmaz İnş.Uğur Ömür Apt.No:113 A-B ANTALYA</v>
          </cell>
          <cell r="E30" t="str">
            <v>MURATPAŞA</v>
          </cell>
          <cell r="F30">
            <v>40590</v>
          </cell>
          <cell r="G30" t="str">
            <v>FATİH SERT</v>
          </cell>
          <cell r="H30" t="str">
            <v>GİZEM TOSUN</v>
          </cell>
        </row>
        <row r="31">
          <cell r="C31" t="str">
            <v>Mehmet Akif Kepez Antalya</v>
          </cell>
          <cell r="D31" t="str">
            <v>Mehmet Akif Ersoy Mh. Osman Yüksel Serdengeçti Cd. Kutlu Apt.No:27/A Kepez ANTALYA</v>
          </cell>
          <cell r="E31" t="str">
            <v>KEPEZ</v>
          </cell>
          <cell r="F31">
            <v>41766</v>
          </cell>
          <cell r="G31" t="str">
            <v>KERİM YÜREKLİ</v>
          </cell>
          <cell r="H31" t="str">
            <v>VELİ GÖK</v>
          </cell>
        </row>
        <row r="32">
          <cell r="C32" t="str">
            <v>İsmail Hakkı Kaya Kepez Antalya</v>
          </cell>
          <cell r="D32" t="str">
            <v>Teomanpaşa Mh. 2282 Sk. No:4/5-6 Kepez  ANTALYA</v>
          </cell>
          <cell r="E32" t="str">
            <v>KEPEZ</v>
          </cell>
          <cell r="F32">
            <v>41864</v>
          </cell>
          <cell r="G32" t="str">
            <v>KADİR ÇETİN</v>
          </cell>
          <cell r="H32" t="str">
            <v>VELİ GÖK</v>
          </cell>
        </row>
        <row r="33">
          <cell r="C33" t="str">
            <v>Hastane Cd. Kepez Antalya</v>
          </cell>
          <cell r="D33" t="str">
            <v>Hüsnü Karakaş Mh. Hastane Cd. Ünzile Sert Apt. No:82/7-8 Kepez ANTALYA</v>
          </cell>
          <cell r="E33" t="str">
            <v>KEPEZ</v>
          </cell>
          <cell r="F33">
            <v>41898</v>
          </cell>
          <cell r="G33" t="str">
            <v>SALİH SERKAN ERÇİN</v>
          </cell>
          <cell r="H33" t="str">
            <v>VELİ GÖK</v>
          </cell>
        </row>
        <row r="34">
          <cell r="C34" t="str">
            <v>Köroğlu Muratpaşa Antalya</v>
          </cell>
          <cell r="D34" t="str">
            <v>Yenigün Mah. Köroğlu Blv. Site St. B Blok No: 48B / A Muratpaşa ANTALYA ( 2866637248 )</v>
          </cell>
          <cell r="E34" t="str">
            <v>MURATPAŞA</v>
          </cell>
          <cell r="F34">
            <v>42790</v>
          </cell>
          <cell r="G34" t="str">
            <v>FATİH SERT</v>
          </cell>
          <cell r="H34" t="str">
            <v>GİZEM TOSUN</v>
          </cell>
        </row>
        <row r="35">
          <cell r="C35" t="str">
            <v>Ali Çetinkaya Cd./Muratpaşa/ANTALYA</v>
          </cell>
          <cell r="D35" t="str">
            <v>Çaybaşı Mah. 1351 sok. No:2 Feride Türkmen Apt. Muratpaşa / ANTALYA</v>
          </cell>
          <cell r="E35" t="str">
            <v>MURATPAŞA</v>
          </cell>
          <cell r="F35">
            <v>42054</v>
          </cell>
          <cell r="G35" t="str">
            <v>ÜMİT KAAN ŞAHİN</v>
          </cell>
          <cell r="H35" t="str">
            <v>ŞADAN YURDAKUL</v>
          </cell>
        </row>
        <row r="36">
          <cell r="C36" t="str">
            <v>Şahinbey Kepez Antalya</v>
          </cell>
          <cell r="D36" t="str">
            <v>Varsak Menderes Mh. Şahin Bey Cd. No:3 /2-3 Kepez ANTALYA</v>
          </cell>
          <cell r="E36" t="str">
            <v>KEPEZ</v>
          </cell>
          <cell r="F36">
            <v>42054</v>
          </cell>
          <cell r="G36" t="str">
            <v>SELİM GÜNDÜZ</v>
          </cell>
          <cell r="H36" t="str">
            <v>ŞADAN YURDAKUL</v>
          </cell>
        </row>
        <row r="37">
          <cell r="C37" t="str">
            <v>Muammer Aksoy Kepez Antalya</v>
          </cell>
          <cell r="D37" t="str">
            <v>Habipler Mh. Muammer Aksoy Cd. No: 9 /A-B-C  Kepez ANTALYA</v>
          </cell>
          <cell r="E37" t="str">
            <v>KEPEZ</v>
          </cell>
          <cell r="F37">
            <v>42073</v>
          </cell>
          <cell r="G37" t="str">
            <v>SELİM GÜNDÜZ</v>
          </cell>
          <cell r="H37" t="str">
            <v>ŞADAN YURDAKUL</v>
          </cell>
        </row>
        <row r="38">
          <cell r="C38" t="str">
            <v>Ulus Kepez Antalya</v>
          </cell>
          <cell r="D38" t="str">
            <v>Ulus Mh. Orhan Veli Cd. Taşköprü Apt. No:22 /A Kepez ANTALYA</v>
          </cell>
          <cell r="E38" t="str">
            <v>KEPEZ</v>
          </cell>
          <cell r="F38">
            <v>42090</v>
          </cell>
          <cell r="G38" t="str">
            <v>FİKRET HOCA</v>
          </cell>
          <cell r="H38" t="str">
            <v>ALİ AKÇAY</v>
          </cell>
        </row>
        <row r="39">
          <cell r="C39" t="str">
            <v>Abdi ipekçi cd./Muratpaşa / ANTALYA</v>
          </cell>
          <cell r="D39" t="str">
            <v>Muratpaşa Mah. 565 sokak No:18 25-26-27 Nolu dükkanlar Muratpaşa / ANTALYA</v>
          </cell>
          <cell r="E39" t="str">
            <v>MURATPAŞA</v>
          </cell>
          <cell r="F39">
            <v>42108</v>
          </cell>
          <cell r="G39" t="str">
            <v>ÜMİT KIRBAŞ</v>
          </cell>
          <cell r="H39" t="str">
            <v>ALİ AKÇAY</v>
          </cell>
        </row>
        <row r="40">
          <cell r="C40" t="str">
            <v>Mevlana / ANTALYA</v>
          </cell>
          <cell r="D40" t="str">
            <v>Etiler Mah. Evliya Çelebi Cad. Küçükbarut Apt. No:4/1 Nolu Dükkan Muratpaşa / ANTALYA</v>
          </cell>
          <cell r="E40" t="str">
            <v>MURATPAŞA</v>
          </cell>
          <cell r="F40">
            <v>41363</v>
          </cell>
          <cell r="G40" t="str">
            <v>FATİH SERT</v>
          </cell>
          <cell r="H40" t="str">
            <v>GİZEM TOSUN</v>
          </cell>
        </row>
        <row r="41">
          <cell r="C41" t="str">
            <v>Demirgül Kepez Antalya</v>
          </cell>
          <cell r="D41" t="str">
            <v>Düdenbaşı Mh. 2336 Sk Altınkaya Apt. No:20/A-B  Kepez  ANTALYA</v>
          </cell>
          <cell r="E41" t="str">
            <v>KEPEZ</v>
          </cell>
          <cell r="F41">
            <v>42137</v>
          </cell>
          <cell r="G41" t="str">
            <v>RAMAZAN ÇATALTAŞ</v>
          </cell>
          <cell r="H41" t="str">
            <v>ŞADAN YURDAKUL</v>
          </cell>
        </row>
        <row r="42">
          <cell r="C42" t="str">
            <v>Güvenlik Muratpaşa Antalya</v>
          </cell>
          <cell r="D42" t="str">
            <v>Güvenlik Mh. 261 Sk. 3.Pazarcı Apt. No:3 /A-B Muratpaşa ANTALYA</v>
          </cell>
          <cell r="E42" t="str">
            <v>MURATPAŞA</v>
          </cell>
          <cell r="F42">
            <v>42185</v>
          </cell>
          <cell r="G42" t="str">
            <v>ÖZKAN DEMİR</v>
          </cell>
          <cell r="H42" t="str">
            <v>ALİ AKÇAY</v>
          </cell>
        </row>
        <row r="43">
          <cell r="C43" t="str">
            <v>Yanyol Muratpaşa Antalya</v>
          </cell>
          <cell r="D43" t="str">
            <v>Kızılarık Mahallesi Gazi Bulvarı no:286 A -286 B Muratpaşa Antalya (1917470476-4094201656)</v>
          </cell>
          <cell r="E43" t="str">
            <v>MURATPAŞA</v>
          </cell>
          <cell r="F43">
            <v>43004</v>
          </cell>
          <cell r="G43" t="str">
            <v>FATİH SERT</v>
          </cell>
          <cell r="H43" t="str">
            <v>GİZEM TOSUN</v>
          </cell>
        </row>
        <row r="44">
          <cell r="C44" t="str">
            <v>Zafer Dokuma Kepez Antalya</v>
          </cell>
          <cell r="D44" t="str">
            <v>Zafer Mh. 2612 Sk. No:19 Kepez ANTALYA</v>
          </cell>
          <cell r="E44" t="str">
            <v>KEPEZ</v>
          </cell>
          <cell r="F44">
            <v>42231</v>
          </cell>
          <cell r="G44" t="str">
            <v>FİKRET HOCA</v>
          </cell>
          <cell r="H44" t="str">
            <v>ALİ AKÇAY</v>
          </cell>
        </row>
        <row r="45">
          <cell r="C45" t="str">
            <v>Hüsnü Karakaş Kepez Antalya</v>
          </cell>
          <cell r="D45" t="str">
            <v>Hüsnü Karakaş Mh. Güneş Cd. A1 Apt. No: 128 C  Kepez  ANTALYA</v>
          </cell>
          <cell r="E45" t="str">
            <v>KEPEZ</v>
          </cell>
          <cell r="F45">
            <v>42282</v>
          </cell>
          <cell r="G45" t="str">
            <v>YUNUS BAYSAL</v>
          </cell>
          <cell r="H45" t="str">
            <v>ŞADAN YURDAKUL</v>
          </cell>
        </row>
        <row r="46">
          <cell r="C46" t="str">
            <v>Düden Şelalesi Kepez Antalya</v>
          </cell>
          <cell r="D46" t="str">
            <v>Şelale Mh. 21.Cd. No:26A / 26B Kepez ANTALYA</v>
          </cell>
          <cell r="E46" t="str">
            <v>KEPEZ</v>
          </cell>
          <cell r="F46">
            <v>42287</v>
          </cell>
          <cell r="G46" t="str">
            <v>TUĞBA ALDI</v>
          </cell>
          <cell r="H46" t="str">
            <v>VELİ GÖK</v>
          </cell>
        </row>
        <row r="47">
          <cell r="C47" t="str">
            <v>Altınova  Kepez Antalya</v>
          </cell>
          <cell r="D47" t="str">
            <v>Altınova Orta Mh. Çağan Sk. No: 6B / 1-2-3-4 Kepez ANTALYA</v>
          </cell>
          <cell r="E47" t="str">
            <v>KEPEZ</v>
          </cell>
          <cell r="F47">
            <v>42313</v>
          </cell>
          <cell r="G47" t="str">
            <v>SİNEM ÖZKAYA</v>
          </cell>
          <cell r="H47" t="str">
            <v>ŞADAN YURDAKUL</v>
          </cell>
        </row>
        <row r="48">
          <cell r="C48" t="str">
            <v>Vali Recep Yazıcıoğlu Kepez Antalya</v>
          </cell>
          <cell r="D48" t="str">
            <v>Gazi Mh. Vali Recep Yazıcıoğlu Cd. No: 13 A Kepez ANTALYA</v>
          </cell>
          <cell r="E48" t="str">
            <v>KEPEZ</v>
          </cell>
          <cell r="F48">
            <v>42361</v>
          </cell>
          <cell r="G48" t="str">
            <v>YUNUS BAYSAL</v>
          </cell>
          <cell r="H48" t="str">
            <v>ŞADAN YURDAKUL</v>
          </cell>
        </row>
        <row r="49">
          <cell r="C49" t="str">
            <v>Altındağ Muratpaşa Antalya</v>
          </cell>
          <cell r="D49" t="str">
            <v>Altındağ Mh. 164 Sk. Ceylan Apt. No:4A-4B-6E-6F Muratpaşa ANTALYA</v>
          </cell>
          <cell r="E49" t="str">
            <v>MURATPAŞA</v>
          </cell>
          <cell r="F49">
            <v>42367</v>
          </cell>
          <cell r="G49" t="str">
            <v>ÖZKAN DEMİR</v>
          </cell>
          <cell r="H49" t="str">
            <v>ALİ AKÇAY</v>
          </cell>
        </row>
        <row r="50">
          <cell r="C50" t="str">
            <v>Cahit Sıtkı Muratpaşa Antalya</v>
          </cell>
          <cell r="D50" t="str">
            <v>Yenigün Mah. 1048 Sok. No:28 A Muratpaşa Antalya (5210928676)</v>
          </cell>
          <cell r="E50" t="str">
            <v>MURATPAŞA</v>
          </cell>
          <cell r="F50">
            <v>44308</v>
          </cell>
          <cell r="G50" t="str">
            <v>İSMAİL UĞUR KAYA</v>
          </cell>
          <cell r="H50" t="str">
            <v>GİZEM TOSUN</v>
          </cell>
        </row>
        <row r="51">
          <cell r="C51" t="str">
            <v>Yüksekalan Muratpaşa Antalya</v>
          </cell>
          <cell r="D51" t="str">
            <v>Yüksekalan Mah. 500 Sokak No:10A-10B  Muratpaşa Antalya ( 1329191413 - 3581218371)</v>
          </cell>
          <cell r="E51" t="str">
            <v>MURATPAŞA</v>
          </cell>
          <cell r="F51">
            <v>42412</v>
          </cell>
          <cell r="G51" t="str">
            <v>ÜMİT KAAN ŞAHİN</v>
          </cell>
          <cell r="H51" t="str">
            <v>ŞADAN YURDAKUL</v>
          </cell>
        </row>
        <row r="52">
          <cell r="C52" t="str">
            <v>Fikri Erten Kepez Antalya</v>
          </cell>
          <cell r="D52" t="str">
            <v>Fabrikalar Mh. Fikri Erten cad. No:54A Kepez ANTALYA</v>
          </cell>
          <cell r="E52" t="str">
            <v>KEPEZ</v>
          </cell>
          <cell r="F52">
            <v>42417</v>
          </cell>
          <cell r="G52" t="str">
            <v>KILIÇASLAN İYİCAN</v>
          </cell>
          <cell r="H52" t="str">
            <v>ALİ AKÇAY</v>
          </cell>
        </row>
        <row r="53">
          <cell r="C53" t="str">
            <v>Cuma Pazarı Kepez Antalya</v>
          </cell>
          <cell r="D53" t="str">
            <v>Altınova Orta Mh. Şelale Sk No:185 A Kepez ANTALYA</v>
          </cell>
          <cell r="E53" t="str">
            <v>KEPEZ</v>
          </cell>
          <cell r="F53">
            <v>42426</v>
          </cell>
          <cell r="G53" t="str">
            <v>SİNEM ÖZKAYA</v>
          </cell>
          <cell r="H53" t="str">
            <v>ŞADAN YURDAKUL</v>
          </cell>
        </row>
        <row r="54">
          <cell r="C54" t="str">
            <v>Festival Çarşısı Muratpaşa Antalya</v>
          </cell>
          <cell r="D54" t="str">
            <v>Meydan Kavağı Mahallesi 1595 Sokak no:16 Muratpaşa Antalya   (1089129879)</v>
          </cell>
          <cell r="E54" t="str">
            <v>MURATPAŞA</v>
          </cell>
          <cell r="F54">
            <v>42448</v>
          </cell>
          <cell r="G54" t="str">
            <v>TUĞÇE KOCABAŞ</v>
          </cell>
          <cell r="H54" t="str">
            <v>VELİ GÖK</v>
          </cell>
        </row>
        <row r="55">
          <cell r="C55" t="str">
            <v>Ömer Buyrukçu Cd Kepez Antalya</v>
          </cell>
          <cell r="D55" t="str">
            <v>Güneş Mh. Ömer Buyrukçu Cd. No: 66A-66B-66C Kepez ANTALYA</v>
          </cell>
          <cell r="E55" t="str">
            <v>KEPEZ</v>
          </cell>
          <cell r="F55">
            <v>42504</v>
          </cell>
          <cell r="G55" t="str">
            <v>KERİM YÜREKLİ</v>
          </cell>
          <cell r="H55" t="str">
            <v>VELİ GÖK</v>
          </cell>
        </row>
        <row r="56">
          <cell r="C56" t="str">
            <v>Güzelbağ Muratpaşa Antalya</v>
          </cell>
          <cell r="D56" t="str">
            <v>Güzeloba mah. 2163 Sokak No:10AA -10AB Muratpaşa ANTALYA ( 2573850613 - 1053201701)</v>
          </cell>
          <cell r="E56" t="str">
            <v>MURATPAŞA</v>
          </cell>
          <cell r="F56">
            <v>42514</v>
          </cell>
          <cell r="G56" t="str">
            <v>TUĞÇE KOCABAŞ</v>
          </cell>
          <cell r="H56" t="str">
            <v>VELİ GÖK</v>
          </cell>
        </row>
        <row r="57">
          <cell r="C57" t="str">
            <v>Fener Muratpaşa Antalya</v>
          </cell>
          <cell r="D57" t="str">
            <v>Fener Mahallesi 1979 sokak Koyuncu Apartmanı no: 43B - 43C Muratpaşa Antalya</v>
          </cell>
          <cell r="E57" t="str">
            <v>MURATPAŞA</v>
          </cell>
          <cell r="F57">
            <v>42546</v>
          </cell>
          <cell r="G57" t="str">
            <v>ERDAL ARSLAN</v>
          </cell>
          <cell r="H57" t="str">
            <v>ŞADAN YURDAKUL</v>
          </cell>
        </row>
        <row r="58">
          <cell r="C58" t="str">
            <v>İbni Sina Muratpaşa Antalya</v>
          </cell>
          <cell r="D58" t="str">
            <v>Yenigün Mah. Yunus Emre Cad. No: 47 A Merkez Muratpaşa Antalya (5434758693)</v>
          </cell>
          <cell r="E58" t="str">
            <v>MURATPAŞA</v>
          </cell>
          <cell r="F58">
            <v>44173</v>
          </cell>
          <cell r="G58" t="str">
            <v>İSMAİL UĞUR KAYA</v>
          </cell>
          <cell r="H58" t="str">
            <v>GİZEM TOSUN</v>
          </cell>
        </row>
        <row r="59">
          <cell r="C59" t="str">
            <v>Sinan Mh Kepez Antalya</v>
          </cell>
          <cell r="D59" t="str">
            <v>Altınova Sinan Mh. 24.Sk. No:1 A Kepez ANTALYA</v>
          </cell>
          <cell r="E59" t="str">
            <v>KEPEZ</v>
          </cell>
          <cell r="F59">
            <v>42572</v>
          </cell>
          <cell r="G59" t="str">
            <v>SİNEM ÖZKAYA</v>
          </cell>
          <cell r="H59" t="str">
            <v>ŞADAN YURDAKUL</v>
          </cell>
        </row>
        <row r="60">
          <cell r="C60" t="str">
            <v>Sema Yazar Kepez Antalya</v>
          </cell>
          <cell r="D60" t="str">
            <v>Teomanpaşa Mh.  2216 Sk.  No:1 / 1-2 Kepez ANTALYA</v>
          </cell>
          <cell r="E60" t="str">
            <v>KEPEZ</v>
          </cell>
          <cell r="F60">
            <v>42702</v>
          </cell>
          <cell r="G60" t="str">
            <v>KADİR ÇETİN</v>
          </cell>
          <cell r="H60" t="str">
            <v>VELİ GÖK</v>
          </cell>
        </row>
        <row r="61">
          <cell r="C61" t="str">
            <v>12. Cadde Muratpaşa Antalya</v>
          </cell>
          <cell r="D61" t="str">
            <v>Meydan Kavağı  Mh. Şehitler Cd. Erüst Konutları No: 27A / 11 Muratpaşa ANTALYA (2289749281)</v>
          </cell>
          <cell r="E61" t="str">
            <v>MURATPAŞA</v>
          </cell>
          <cell r="F61">
            <v>42780</v>
          </cell>
          <cell r="G61" t="str">
            <v>ABDULLAH BAY</v>
          </cell>
          <cell r="H61" t="str">
            <v>VELİ GÖK</v>
          </cell>
        </row>
        <row r="62">
          <cell r="C62" t="str">
            <v>Kayıkent Muratpaşa Antalya</v>
          </cell>
          <cell r="D62" t="str">
            <v>Kızıltoprak Mah. 914 sokak No:18 A Muratpaşa / ANTALYA (2978536627)</v>
          </cell>
          <cell r="E62" t="str">
            <v>MURATPAŞA</v>
          </cell>
          <cell r="F62">
            <v>42378</v>
          </cell>
          <cell r="G62" t="str">
            <v>İSMAİL UĞUR KAYA</v>
          </cell>
          <cell r="H62" t="str">
            <v>GİZEM TOSUN</v>
          </cell>
        </row>
        <row r="63">
          <cell r="C63" t="str">
            <v>Soğuksu Muratpaşa Antalya</v>
          </cell>
          <cell r="D63" t="str">
            <v>Soğuksu Mh. Toroslar Cd. No:33A Muratpaşa ANTALYA</v>
          </cell>
          <cell r="E63" t="str">
            <v>MURATPAŞA</v>
          </cell>
          <cell r="F63">
            <v>42796</v>
          </cell>
          <cell r="G63" t="str">
            <v>NESLİHAN ÖZYURT</v>
          </cell>
          <cell r="H63" t="str">
            <v>ALİ AKÇAY</v>
          </cell>
        </row>
        <row r="64">
          <cell r="C64" t="str">
            <v>Meydan Muratpaşa Antalya</v>
          </cell>
          <cell r="D64" t="str">
            <v>Kızıltoprak Mah. 919 Sok. A Blok Apt. No:20 A/A Muratpaşa Antalya (1874573791)</v>
          </cell>
          <cell r="E64" t="str">
            <v>MURATPAŞA</v>
          </cell>
          <cell r="F64">
            <v>43504</v>
          </cell>
          <cell r="G64" t="str">
            <v>İSMAİL UĞUR KAYA</v>
          </cell>
          <cell r="H64" t="str">
            <v>GİZEM TOSUN</v>
          </cell>
        </row>
        <row r="65">
          <cell r="C65" t="str">
            <v>Mithatpaşa Kepez Antalya</v>
          </cell>
          <cell r="D65" t="str">
            <v>Ulus Mh. Mithatpaşa Cd. No: 51/A-B Kepez ANTALYA</v>
          </cell>
          <cell r="E65" t="str">
            <v>KEPEZ</v>
          </cell>
          <cell r="F65">
            <v>42843</v>
          </cell>
          <cell r="G65" t="str">
            <v>FİKRET HOCA</v>
          </cell>
          <cell r="H65" t="str">
            <v>ALİ AKÇAY</v>
          </cell>
        </row>
        <row r="66">
          <cell r="C66" t="str">
            <v>Necip Fazıl Kepez Antalya</v>
          </cell>
          <cell r="D66" t="str">
            <v>Güneş Mh Güneş Cd No: 54 A Kepez ANTALYA</v>
          </cell>
          <cell r="E66" t="str">
            <v>KEPEZ</v>
          </cell>
          <cell r="F66">
            <v>42878</v>
          </cell>
          <cell r="G66" t="str">
            <v>KADİR ÇETİN</v>
          </cell>
          <cell r="H66" t="str">
            <v>VELİ GÖK</v>
          </cell>
        </row>
        <row r="67">
          <cell r="C67" t="str">
            <v>Kaplan Sk. Muratpaşa Antalya</v>
          </cell>
          <cell r="D67" t="str">
            <v>Güzeloba Mah. Havaalanı Cd. A blok  No:61/A Muratpaşa Antalya ( 2764943649 )</v>
          </cell>
          <cell r="E67" t="str">
            <v>MURATPAŞA</v>
          </cell>
          <cell r="F67">
            <v>42880</v>
          </cell>
          <cell r="G67" t="str">
            <v>ÇAĞRI YALÇIN</v>
          </cell>
          <cell r="H67" t="str">
            <v>VELİ GÖK</v>
          </cell>
        </row>
        <row r="68">
          <cell r="C68" t="str">
            <v>Çatalköprü Cd. Muratpaşa Antalya</v>
          </cell>
          <cell r="D68" t="str">
            <v>Muratpaşa Mh. Çatalköprü Cd. Yılmaz Apt. No: 31 A-B Muratpaşa Antalya ( 1785100700 – 1777600956 )</v>
          </cell>
          <cell r="E68" t="str">
            <v>MURATPAŞA</v>
          </cell>
          <cell r="F68">
            <v>42977</v>
          </cell>
          <cell r="G68" t="str">
            <v>ÜMİT KIRBAŞ</v>
          </cell>
          <cell r="H68" t="str">
            <v>ALİ AKÇAY</v>
          </cell>
        </row>
        <row r="69">
          <cell r="C69" t="str">
            <v>Pazaryeri Muratpaşa Antalya</v>
          </cell>
          <cell r="D69" t="str">
            <v>Kızıltoprak Mah. 952 Sok. B Blok Apt. No:15   BA- BB  Muratpaşa Antalya  (2980338186-2729846978 )</v>
          </cell>
          <cell r="E69" t="str">
            <v>MURATPAŞA</v>
          </cell>
          <cell r="F69">
            <v>43147</v>
          </cell>
          <cell r="G69" t="str">
            <v>İSMAİL UĞUR KAYA</v>
          </cell>
          <cell r="H69" t="str">
            <v>GİZEM TOSUN</v>
          </cell>
        </row>
        <row r="70">
          <cell r="C70" t="str">
            <v>Şehit Ercan Cd. Muratpaşa Antalya</v>
          </cell>
          <cell r="D70" t="str">
            <v>Kızıltoprak Mah. Şehit Ercan Cd.  No:50 A- 50 B  Muratpaşa Antalya (1962471486 – 3705713620 )</v>
          </cell>
          <cell r="E70" t="str">
            <v>MURATPAŞA</v>
          </cell>
          <cell r="F70">
            <v>42986</v>
          </cell>
          <cell r="G70" t="str">
            <v>İSMAİL UĞUR KAYA</v>
          </cell>
          <cell r="H70" t="str">
            <v>GİZEM TOSUN</v>
          </cell>
        </row>
        <row r="71">
          <cell r="C71" t="str">
            <v>Yenigün / ANTALYA</v>
          </cell>
          <cell r="D71" t="str">
            <v>Yenigün Mah. Yunus Emre Cad. Yılmaz Apt. Altı No:1/A  Muratpaşa Antalya</v>
          </cell>
          <cell r="E71" t="str">
            <v>MURATPAŞA</v>
          </cell>
          <cell r="F71">
            <v>39580</v>
          </cell>
          <cell r="G71" t="str">
            <v>İSMAİL UĞUR KAYA</v>
          </cell>
          <cell r="H71" t="str">
            <v>GİZEM TOSUN</v>
          </cell>
        </row>
        <row r="72">
          <cell r="C72" t="str">
            <v>Spotçular Çarşısı Muratpaşa Antalya</v>
          </cell>
          <cell r="D72" t="str">
            <v>Deniz Mh. 122.Sokak Halis Yeşilyurt Apt. No: 41 A/A Muratpaşa ANTALYA</v>
          </cell>
          <cell r="E72" t="str">
            <v>MURATPAŞA</v>
          </cell>
          <cell r="F72">
            <v>43008</v>
          </cell>
          <cell r="G72" t="str">
            <v>İBRAHİM DURBALİ</v>
          </cell>
          <cell r="H72" t="str">
            <v>ALİ AKÇAY</v>
          </cell>
        </row>
        <row r="73">
          <cell r="C73" t="str">
            <v>Kamile Çömlekçi Muratpaşa Antalya</v>
          </cell>
          <cell r="D73" t="str">
            <v>Yüksekalan Mah. 485. Sokak No: 16 A Muratpaşa Antalya ( 3504117791 )</v>
          </cell>
          <cell r="E73" t="str">
            <v>MURATPAŞA</v>
          </cell>
          <cell r="F73">
            <v>43036</v>
          </cell>
          <cell r="G73" t="str">
            <v>ÜMİT KAAN ŞAHİN</v>
          </cell>
          <cell r="H73" t="str">
            <v>ŞADAN YURDAKUL</v>
          </cell>
        </row>
        <row r="74">
          <cell r="C74" t="str">
            <v>Örnekköy Muratpaşa Antalya</v>
          </cell>
          <cell r="D74" t="str">
            <v>Güzeloba Mah. 2298 Sokak Elmas Apt. No:12 A Muratpaşa / Antalya ( 1462311257)</v>
          </cell>
          <cell r="E74" t="str">
            <v>MURATPAŞA</v>
          </cell>
          <cell r="F74">
            <v>43081</v>
          </cell>
          <cell r="G74" t="str">
            <v>EMRAH AKINCI</v>
          </cell>
          <cell r="H74" t="str">
            <v>ALİ AKÇAY</v>
          </cell>
        </row>
        <row r="75">
          <cell r="C75" t="str">
            <v>Yunus Emre Cad./Muratpaşa/ANTALYA</v>
          </cell>
          <cell r="D75" t="str">
            <v>Gebizli Mah. Yunus Emre Cad. Yağmur Konutları 2 D Blok No:2 Muratpaşa / ANTALYA</v>
          </cell>
          <cell r="E75" t="str">
            <v>MURATPAŞA</v>
          </cell>
          <cell r="F75">
            <v>41982</v>
          </cell>
          <cell r="G75" t="str">
            <v>İSMAİL UĞUR KAYA</v>
          </cell>
          <cell r="H75" t="str">
            <v>GİZEM TOSUN</v>
          </cell>
        </row>
        <row r="76">
          <cell r="C76" t="str">
            <v>Balbey Muratpaşa Antalya</v>
          </cell>
          <cell r="D76" t="str">
            <v>Balbey mah.405 sokak Mehmet Ali Gönen İş Merkezi no :1 Muratpaşa /Antalya</v>
          </cell>
          <cell r="E76" t="str">
            <v>MURATPAŞA</v>
          </cell>
          <cell r="F76">
            <v>45103</v>
          </cell>
          <cell r="G76" t="str">
            <v>İSMAİL YAZGAN</v>
          </cell>
          <cell r="H76" t="str">
            <v>GİZEM TOSUN</v>
          </cell>
        </row>
        <row r="77">
          <cell r="C77" t="str">
            <v>Rauf Denktaş Muratpaşa Antalya</v>
          </cell>
          <cell r="D77" t="str">
            <v>Güzeloba Mah. Rauf Denktaş Cad. B Blok No:47 F 47 G Muratpaşa Antalya (1855673149-2636849875)</v>
          </cell>
          <cell r="E77" t="str">
            <v>MURATPAŞA</v>
          </cell>
          <cell r="F77">
            <v>43155</v>
          </cell>
          <cell r="G77" t="str">
            <v>ÇAĞRI YALÇIN</v>
          </cell>
          <cell r="H77" t="str">
            <v>VELİ GÖK</v>
          </cell>
        </row>
        <row r="78">
          <cell r="C78" t="str">
            <v>Medstar Muratpaşa Antalya</v>
          </cell>
          <cell r="D78" t="str">
            <v>Yıldız Mh. 219 Sk. Yıldız Yaşam Apt. No:32 A/B Muratpaşa ANTALYA</v>
          </cell>
          <cell r="E78" t="str">
            <v>MURATPAŞA</v>
          </cell>
          <cell r="F78">
            <v>43168</v>
          </cell>
          <cell r="G78" t="str">
            <v>ÖZKAN DEMİR</v>
          </cell>
          <cell r="H78" t="str">
            <v>ALİ AKÇAY</v>
          </cell>
        </row>
        <row r="79">
          <cell r="C79" t="str">
            <v>Hamidiye Muratpaşa Antalya</v>
          </cell>
          <cell r="D79" t="str">
            <v>Yıldız Mh. Çakırlar Cd. No:48 A/B Muratpaşa ANTALYA</v>
          </cell>
          <cell r="E79" t="str">
            <v>MURATPAŞA</v>
          </cell>
          <cell r="F79">
            <v>43186</v>
          </cell>
          <cell r="G79" t="str">
            <v>ÖZKAN DEMİR</v>
          </cell>
          <cell r="H79" t="str">
            <v>ALİ AKÇAY</v>
          </cell>
        </row>
        <row r="80">
          <cell r="C80" t="str">
            <v>Cebesoy / ANTALYA</v>
          </cell>
          <cell r="D80" t="str">
            <v>Sinan Mahallesi. Cebesoy Caddesi.No:62 Antalya</v>
          </cell>
          <cell r="E80" t="str">
            <v>MURATPAŞA</v>
          </cell>
          <cell r="F80">
            <v>39785</v>
          </cell>
          <cell r="G80" t="str">
            <v>İSMAİL YAZGAN</v>
          </cell>
          <cell r="H80" t="str">
            <v>GİZEM TOSUN</v>
          </cell>
        </row>
        <row r="81">
          <cell r="C81" t="str">
            <v>İbrahim Ateş Muratpaşa Antalya</v>
          </cell>
          <cell r="D81" t="str">
            <v>Çağlayan Mah. 2033 Sok. Fidan Apt. No:20 A Muratpaşa Antalya (1605406261)</v>
          </cell>
          <cell r="E81" t="str">
            <v>MURATPAŞA</v>
          </cell>
          <cell r="F81">
            <v>43209</v>
          </cell>
          <cell r="G81" t="str">
            <v>ERDAL ARSLAN</v>
          </cell>
          <cell r="H81" t="str">
            <v>ŞADAN YURDAKUL</v>
          </cell>
        </row>
        <row r="82">
          <cell r="C82" t="str">
            <v>Fetane Muratpaşa Antalya</v>
          </cell>
          <cell r="D82" t="str">
            <v>Çağlayan Mah. 2037 Sok. Yağmur Apt. Sit. No:14 A Muratpaşa Antalya (3093120156)</v>
          </cell>
          <cell r="E82" t="str">
            <v>MURATPAŞA</v>
          </cell>
          <cell r="F82">
            <v>43227</v>
          </cell>
          <cell r="G82" t="str">
            <v>EMRAH AKINCI</v>
          </cell>
          <cell r="H82" t="str">
            <v>ALİ AKÇAY</v>
          </cell>
        </row>
        <row r="83">
          <cell r="C83" t="str">
            <v>Kocatepe Kepez Antalya</v>
          </cell>
          <cell r="D83" t="str">
            <v>Yükseliş Mh. 2118 Sk. No:19A 1/2 Kepez ANTALYA</v>
          </cell>
          <cell r="E83" t="str">
            <v>KEPEZ</v>
          </cell>
          <cell r="F83">
            <v>43229</v>
          </cell>
          <cell r="G83" t="str">
            <v>KILIÇASLAN İYİCAN</v>
          </cell>
          <cell r="H83" t="str">
            <v>ALİ AKÇAY</v>
          </cell>
        </row>
        <row r="84">
          <cell r="C84" t="str">
            <v>Şarampol Muratpaşa Antalya</v>
          </cell>
          <cell r="D84" t="str">
            <v>Üçgen Mah. Tonguç Cad. Çakmak Apt. Sit. No: 59 A - 59 B - 59 C / Muratpaşa Antalya</v>
          </cell>
          <cell r="E84" t="str">
            <v>MURATPAŞA</v>
          </cell>
          <cell r="F84">
            <v>43245</v>
          </cell>
          <cell r="G84" t="str">
            <v>NESLİHAN ÖZYURT</v>
          </cell>
          <cell r="H84" t="str">
            <v>ALİ AKÇAY</v>
          </cell>
        </row>
        <row r="85">
          <cell r="C85" t="str">
            <v>Yeşiltepe Kepez Antalya</v>
          </cell>
          <cell r="D85" t="str">
            <v>Yeşiltepe Mh. Ziya Gökalp Cd. No:17 A-B Kepez ANTALYA</v>
          </cell>
          <cell r="E85" t="str">
            <v>KEPEZ</v>
          </cell>
          <cell r="F85">
            <v>43285</v>
          </cell>
          <cell r="G85" t="str">
            <v>KILIÇASLAN İYİCAN</v>
          </cell>
          <cell r="H85" t="str">
            <v>ALİ AKÇAY</v>
          </cell>
        </row>
        <row r="86">
          <cell r="C86" t="str">
            <v>Şehit Oğuz Muratpaşa Antalya</v>
          </cell>
          <cell r="D86" t="str">
            <v>Meydan Kavağı Mah. 1561 Sok. No:25 A/A 25 A/B Numaralı Dükkanlar Muratpaşa Antalya</v>
          </cell>
          <cell r="E86" t="str">
            <v>MURATPAŞA</v>
          </cell>
          <cell r="F86">
            <v>43300</v>
          </cell>
          <cell r="G86" t="str">
            <v>ABDULLAH BAY</v>
          </cell>
          <cell r="H86" t="str">
            <v>VELİ GÖK</v>
          </cell>
        </row>
        <row r="87">
          <cell r="C87" t="str">
            <v>15 Temmuz Kepez Antalya</v>
          </cell>
          <cell r="D87" t="str">
            <v>Düdenbaşı Mh. 15 Temmuz Şehitler Cd. No:18/ A-B Kepez ANTALYA</v>
          </cell>
          <cell r="E87" t="str">
            <v>KEPEZ</v>
          </cell>
          <cell r="F87">
            <v>43319</v>
          </cell>
          <cell r="G87" t="str">
            <v>KADİR ÇETİN</v>
          </cell>
          <cell r="H87" t="str">
            <v>VELİ GÖK</v>
          </cell>
        </row>
        <row r="88">
          <cell r="C88" t="str">
            <v>İsmetpaşa Caddesi Muratpaşa</v>
          </cell>
          <cell r="D88" t="str">
            <v>Tahılpazarı mah.İsmetpaşa caddesi. Mehmet Cadıl İş merkezi No:33/A-33/B Muratpaşa/Antalya</v>
          </cell>
          <cell r="E88" t="str">
            <v>MURATPAŞA</v>
          </cell>
          <cell r="F88">
            <v>45351</v>
          </cell>
          <cell r="G88" t="str">
            <v>İSMAİL YAZGAN</v>
          </cell>
          <cell r="H88" t="str">
            <v>GİZEM TOSUN</v>
          </cell>
        </row>
        <row r="89">
          <cell r="C89" t="str">
            <v>Kaleiçi Muratpaşa Antalya</v>
          </cell>
          <cell r="D89" t="str">
            <v>Tuzcular Mah. Mescit Sok. No:16 A Muratpaşa Antalya (1519909673)</v>
          </cell>
          <cell r="E89" t="str">
            <v>MURATPAŞA</v>
          </cell>
          <cell r="F89">
            <v>43657</v>
          </cell>
          <cell r="G89" t="str">
            <v>İSMAİL YAZGAN</v>
          </cell>
          <cell r="H89" t="str">
            <v>GİZEM TOSUN</v>
          </cell>
        </row>
        <row r="90">
          <cell r="C90" t="str">
            <v>Kızılırmak Muratpaşa Antalya</v>
          </cell>
          <cell r="D90" t="str">
            <v>Yenigün Mah. Kızılırmak Cad. Kızılırmak Apt. Sit. No:34/A 34/B Muratpaşa Antalya</v>
          </cell>
          <cell r="E90" t="str">
            <v>MURATPAŞA</v>
          </cell>
          <cell r="F90">
            <v>43735</v>
          </cell>
          <cell r="G90" t="str">
            <v>İSMAİL YAZGAN</v>
          </cell>
          <cell r="H90" t="str">
            <v>GİZEM TOSUN</v>
          </cell>
        </row>
        <row r="91">
          <cell r="C91" t="str">
            <v>Rasih Kaplan Cd Kepez Antalya</v>
          </cell>
          <cell r="D91" t="str">
            <v>Ulus Mh. Rasih Kaplan Cd. No:33 A-B Kepez ANTALYA</v>
          </cell>
          <cell r="E91" t="str">
            <v>KEPEZ</v>
          </cell>
          <cell r="F91">
            <v>43424</v>
          </cell>
          <cell r="G91" t="str">
            <v>FİKRET HOCA</v>
          </cell>
          <cell r="H91" t="str">
            <v>ALİ AKÇAY</v>
          </cell>
        </row>
        <row r="92">
          <cell r="C92" t="str">
            <v>Haseki Kepez Antalya</v>
          </cell>
          <cell r="D92" t="str">
            <v>Güneş Mh. Necip Fazıl Kısakürek Cd. Ulutaş Apt. No: 127/A-B Kepez ANTALYA</v>
          </cell>
          <cell r="E92" t="str">
            <v>KEPEZ</v>
          </cell>
          <cell r="F92">
            <v>43455</v>
          </cell>
          <cell r="G92" t="str">
            <v>SALİH SERKAN ERÇİN</v>
          </cell>
          <cell r="H92" t="str">
            <v>VELİ GÖK</v>
          </cell>
        </row>
        <row r="93">
          <cell r="C93" t="str">
            <v>Servet Muratpaşa Antalya</v>
          </cell>
          <cell r="D93" t="str">
            <v>Yenigün Mah. Kızılırmak Cd. Hacıoğulları Apt. Sit No: 18 A / Muratpaşa / Antalya (2958138790)</v>
          </cell>
          <cell r="E93" t="str">
            <v>MURATPAŞA</v>
          </cell>
          <cell r="F93">
            <v>44362</v>
          </cell>
          <cell r="G93" t="str">
            <v>İSMAİL YAZGAN</v>
          </cell>
          <cell r="H93" t="str">
            <v>GİZEM TOSUN</v>
          </cell>
        </row>
        <row r="94">
          <cell r="C94" t="str">
            <v>Sedir Muratpaşa Antalya</v>
          </cell>
          <cell r="D94" t="str">
            <v>Sedir Mah. Zambak Cad. No:44/A - 44/B Muratpaşa Antalya (3526620269) (3534119023)</v>
          </cell>
          <cell r="E94" t="str">
            <v>MURATPAŞA</v>
          </cell>
          <cell r="F94">
            <v>43479</v>
          </cell>
          <cell r="G94" t="str">
            <v>KILIÇASLAN İYİCAN</v>
          </cell>
          <cell r="H94" t="str">
            <v>ALİ AKÇAY</v>
          </cell>
        </row>
        <row r="95">
          <cell r="C95" t="str">
            <v>Memurevleri Muratpaşa Antalya</v>
          </cell>
          <cell r="D95" t="str">
            <v>Memurevleri Mh. Derya Cd. Çelik Apt. No:5 Muratpaşa Antalya</v>
          </cell>
          <cell r="E95" t="str">
            <v>MURATPAŞA</v>
          </cell>
          <cell r="F95">
            <v>43500</v>
          </cell>
          <cell r="G95" t="str">
            <v>ÖZKAN DEMİR</v>
          </cell>
          <cell r="H95" t="str">
            <v>ALİ AKÇAY</v>
          </cell>
        </row>
        <row r="96">
          <cell r="C96" t="str">
            <v>Yenikapı Muratpaşa Antalya</v>
          </cell>
          <cell r="D96" t="str">
            <v>Zerdalilik Mah. Cebesoy Cad. No:79 A Muratpaşa Antalya (5380570597)</v>
          </cell>
          <cell r="E96" t="str">
            <v>MURATPAŞA</v>
          </cell>
          <cell r="F96">
            <v>44800</v>
          </cell>
          <cell r="G96" t="str">
            <v>İSMAİL YAZGAN</v>
          </cell>
          <cell r="H96" t="str">
            <v>GİZEM TOSUN</v>
          </cell>
        </row>
        <row r="97">
          <cell r="C97" t="str">
            <v>PTT Muratpaşa Antalya</v>
          </cell>
          <cell r="D97" t="str">
            <v>Fener Mah. 1989 Sok. ABS apt. Sit. No:6/A 6/B Muratpaşa Antalya (1372014173) (1382213831)</v>
          </cell>
          <cell r="E97" t="str">
            <v>MURATPAŞA</v>
          </cell>
          <cell r="F97">
            <v>43515</v>
          </cell>
          <cell r="G97" t="str">
            <v>ERDAL ARSLAN</v>
          </cell>
          <cell r="H97" t="str">
            <v>ŞADAN YURDAKUL</v>
          </cell>
        </row>
        <row r="98">
          <cell r="C98" t="str">
            <v>Sosyal Bilimler Muratpaşa Antalya</v>
          </cell>
          <cell r="D98" t="str">
            <v>Güvenlik Mh. 281 Sk. No: 21 / B-C Muratpaşa Antalya</v>
          </cell>
          <cell r="E98" t="str">
            <v>MURATPAŞA</v>
          </cell>
          <cell r="F98">
            <v>43515</v>
          </cell>
          <cell r="G98" t="str">
            <v>KILIÇASLAN İYİCAN</v>
          </cell>
          <cell r="H98" t="str">
            <v>ALİ AKÇAY</v>
          </cell>
        </row>
        <row r="99">
          <cell r="C99" t="str">
            <v>Belediye Muratpaşa Antalya</v>
          </cell>
          <cell r="D99" t="str">
            <v>Çağlayan Mah. Barınaklar Bul. Atmaca Sitesi Sit. A Blok Apt. No: 1A 1B 1C 1D Muratpaşa / Antalya</v>
          </cell>
          <cell r="E99" t="str">
            <v>MURATPAŞA</v>
          </cell>
          <cell r="F99">
            <v>43522</v>
          </cell>
          <cell r="G99" t="str">
            <v>ERDAL ARSLAN</v>
          </cell>
          <cell r="H99" t="str">
            <v>ŞADAN YURDAKUL</v>
          </cell>
        </row>
        <row r="100">
          <cell r="C100" t="str">
            <v>Zerdalilik / Muratpaşa / ANTALYA</v>
          </cell>
          <cell r="D100" t="str">
            <v>Zerdalilik Mah.1385 Sok.Neşe Apt.No:10 / A-B-C nolu Dükkanlar Muratpaşa/ANTALYA</v>
          </cell>
          <cell r="E100" t="str">
            <v>MURATPAŞA</v>
          </cell>
          <cell r="F100">
            <v>42115</v>
          </cell>
          <cell r="G100" t="str">
            <v>İSMAİL YAZGAN</v>
          </cell>
          <cell r="H100" t="str">
            <v>GİZEM TOSUN</v>
          </cell>
        </row>
        <row r="101">
          <cell r="C101" t="str">
            <v>Nazım Hikmet Muratpaşa Antalya</v>
          </cell>
          <cell r="D101" t="str">
            <v>Güzeloba Mah. Rauf Denktaş Cad. Antik Residence Sitesi Sit. A Blok Apt. No:28 A Muratpaşa Antalya</v>
          </cell>
          <cell r="E101" t="str">
            <v>MURATPAŞA</v>
          </cell>
          <cell r="F101">
            <v>43523</v>
          </cell>
          <cell r="G101" t="str">
            <v>ÇAĞRI YALÇIN</v>
          </cell>
          <cell r="H101" t="str">
            <v>VELİ GÖK</v>
          </cell>
        </row>
        <row r="102">
          <cell r="C102" t="str">
            <v>Lara Cad. Muratpaşa Antalya</v>
          </cell>
          <cell r="D102" t="str">
            <v>Güzeloba Mah. Lara Cad. Salih Genç Apt. Sit. No: 180/A 180/B 180/C Muratpaşa Antalya</v>
          </cell>
          <cell r="E102" t="str">
            <v>MURATPAŞA</v>
          </cell>
          <cell r="F102">
            <v>43547</v>
          </cell>
          <cell r="G102" t="str">
            <v>EMRAH AKINCI</v>
          </cell>
          <cell r="H102" t="str">
            <v>ALİ AKÇAY</v>
          </cell>
        </row>
        <row r="103">
          <cell r="C103" t="str">
            <v>Çarşamba Pazarı Kepez Antalya</v>
          </cell>
          <cell r="D103" t="str">
            <v>Düdenbaşı Mh. Ömer Buyrukçu Cd. No:23/A Kepez Antalya</v>
          </cell>
          <cell r="E103" t="str">
            <v>KEPEZ</v>
          </cell>
          <cell r="F103">
            <v>43549</v>
          </cell>
          <cell r="G103" t="str">
            <v>SİNEM ÖZKAYA</v>
          </cell>
          <cell r="H103" t="str">
            <v>ŞADAN YURDAKUL</v>
          </cell>
        </row>
        <row r="104">
          <cell r="C104" t="str">
            <v>Ermenek Muratpaşa Antalya</v>
          </cell>
          <cell r="D104" t="str">
            <v>Ermenek Mah. Şehit Ali Daniyar Cad. No: 48/1 Muratpaşa Antalya (5193183182)</v>
          </cell>
          <cell r="E104" t="str">
            <v>MURATPAŞA</v>
          </cell>
          <cell r="F104">
            <v>43571</v>
          </cell>
          <cell r="G104" t="str">
            <v>ÇAĞRI YALÇIN</v>
          </cell>
          <cell r="H104" t="str">
            <v>VELİ GÖK</v>
          </cell>
        </row>
        <row r="105">
          <cell r="C105" t="str">
            <v>Kemerağzı Muratpaşa Antalya</v>
          </cell>
          <cell r="D105" t="str">
            <v>Güzeloba Mah. 2370 Sok. No:42 / A Muratpaşa Antalya (5292782025)</v>
          </cell>
          <cell r="E105" t="str">
            <v>MURATPAŞA</v>
          </cell>
          <cell r="F105">
            <v>43589</v>
          </cell>
          <cell r="G105" t="str">
            <v>EMRAH AKINCI</v>
          </cell>
          <cell r="H105" t="str">
            <v>ALİ AKÇAY</v>
          </cell>
        </row>
        <row r="106">
          <cell r="C106" t="str">
            <v>Kırçiçeği Kepez Antalya</v>
          </cell>
          <cell r="D106" t="str">
            <v>Baraj Mh. Kırçiçeği Cd. No:40/B A Blok Kepez Antalya</v>
          </cell>
          <cell r="E106" t="str">
            <v>KEPEZ</v>
          </cell>
          <cell r="F106">
            <v>43616</v>
          </cell>
          <cell r="G106" t="str">
            <v>RAMAZAN ÇATALTAŞ</v>
          </cell>
          <cell r="H106" t="str">
            <v>ŞADAN YURDAKUL</v>
          </cell>
        </row>
        <row r="107">
          <cell r="C107" t="str">
            <v>Aydınlıkevler Muratpaşa Antalya</v>
          </cell>
          <cell r="D107" t="str">
            <v>Konuksever Mah. 821 Sok. No:45 A Merkez Muratpaşa Antalya (5320712432)</v>
          </cell>
          <cell r="E107" t="str">
            <v>MURATPAŞA</v>
          </cell>
          <cell r="F107">
            <v>44041</v>
          </cell>
          <cell r="G107" t="str">
            <v>İSMET YILMAZ</v>
          </cell>
          <cell r="H107" t="str">
            <v>GİZEM TOSUN</v>
          </cell>
        </row>
        <row r="108">
          <cell r="C108" t="str">
            <v>Eroğlu Muratpaşa Antalya</v>
          </cell>
          <cell r="D108" t="str">
            <v>Konuksever Mah 808/1 Sok. Eroğlu Apt. Sit. No:8A-B-C/ Muratpaşa Antalya</v>
          </cell>
          <cell r="E108" t="str">
            <v>MURATPAŞA</v>
          </cell>
          <cell r="F108">
            <v>43465</v>
          </cell>
          <cell r="G108" t="str">
            <v>İSMET YILMAZ</v>
          </cell>
          <cell r="H108" t="str">
            <v>GİZEM TOSUN</v>
          </cell>
        </row>
        <row r="109">
          <cell r="C109" t="str">
            <v>Etiler / ANTALYA</v>
          </cell>
          <cell r="D109" t="str">
            <v>Etiler Mah.Karacaoğlan Cad.Gökşen Apt.No:60/1 Antalya</v>
          </cell>
          <cell r="E109" t="str">
            <v>MURATPAŞA</v>
          </cell>
          <cell r="F109">
            <v>39685</v>
          </cell>
          <cell r="G109" t="str">
            <v>İSMET YILMAZ</v>
          </cell>
          <cell r="H109" t="str">
            <v>GİZEM TOSUN</v>
          </cell>
        </row>
        <row r="110">
          <cell r="C110" t="str">
            <v>İstiklal İlköğretim Muratpaşa Antalya</v>
          </cell>
          <cell r="D110" t="str">
            <v>Zerdalilik Mah.1380 Sok. Halide Gököz Apt. Sit. No:4/A Muratpaşa Antalya (1512410067)</v>
          </cell>
          <cell r="E110" t="str">
            <v>MURATPAŞA</v>
          </cell>
          <cell r="F110">
            <v>43790</v>
          </cell>
          <cell r="G110" t="str">
            <v>ÜMİT KAAN ŞAHİN</v>
          </cell>
          <cell r="H110" t="str">
            <v>ŞADAN YURDAKUL</v>
          </cell>
        </row>
        <row r="111">
          <cell r="C111" t="str">
            <v>Şehitler Muratpaşa Antalya</v>
          </cell>
          <cell r="D111" t="str">
            <v>Meydankavağı Mah. Şehitler Cad. No:14 A / Muratpaşa Antalya (5211824528)</v>
          </cell>
          <cell r="E111" t="str">
            <v>MURATPAŞA</v>
          </cell>
          <cell r="F111">
            <v>43795</v>
          </cell>
          <cell r="G111" t="str">
            <v>ABDULLAH BAY</v>
          </cell>
          <cell r="H111" t="str">
            <v>VELİ GÖK</v>
          </cell>
        </row>
        <row r="112">
          <cell r="C112" t="str">
            <v>Esma Sultan Kepez Antalya</v>
          </cell>
          <cell r="D112" t="str">
            <v>Güneş Mh. 15 Temmuz Şehitler Cd. No:103/C Kepez Antalya</v>
          </cell>
          <cell r="E112" t="str">
            <v>KEPEZ</v>
          </cell>
          <cell r="F112">
            <v>43805</v>
          </cell>
          <cell r="G112" t="str">
            <v>KERİM YÜREKLİ</v>
          </cell>
          <cell r="H112" t="str">
            <v>VELİ GÖK</v>
          </cell>
        </row>
        <row r="113">
          <cell r="C113" t="str">
            <v>Osman Yüksel Kepez Antalya</v>
          </cell>
          <cell r="D113" t="str">
            <v>Teomanpaşa Mh. 2270 Sk. Öztürk Apt. No:29-A/B Kepez Antalya</v>
          </cell>
          <cell r="E113" t="str">
            <v>KEPEZ</v>
          </cell>
          <cell r="F113">
            <v>43822</v>
          </cell>
          <cell r="G113" t="str">
            <v>KERİM YÜREKLİ</v>
          </cell>
          <cell r="H113" t="str">
            <v>VELİ GÖK</v>
          </cell>
        </row>
        <row r="114">
          <cell r="C114" t="str">
            <v>Selekler Muratpaşa Antalya</v>
          </cell>
          <cell r="D114" t="str">
            <v>Deniz Mh. Konyaaltı Cd. Arat Apt. No:13 Muratpaşa Antalya</v>
          </cell>
          <cell r="E114" t="str">
            <v>MURATPAŞA</v>
          </cell>
          <cell r="F114">
            <v>43823</v>
          </cell>
          <cell r="G114" t="str">
            <v>İBRAHİM DURBALİ</v>
          </cell>
          <cell r="H114" t="str">
            <v>ALİ AKÇAY</v>
          </cell>
        </row>
        <row r="115">
          <cell r="C115" t="str">
            <v>Güzeloluk Muratpaşa Antalya</v>
          </cell>
          <cell r="D115" t="str">
            <v>Güzeloluk Mah. 1830 Sok. Konut 2 Katlı Sit. No: 87 A Muratpaşa Antalya (1020725998)</v>
          </cell>
          <cell r="E115" t="str">
            <v>MURATPAŞA</v>
          </cell>
          <cell r="F115">
            <v>43826</v>
          </cell>
          <cell r="G115" t="str">
            <v>ABDULLAH BAY</v>
          </cell>
          <cell r="H115" t="str">
            <v>VELİ GÖK</v>
          </cell>
        </row>
        <row r="116">
          <cell r="C116" t="str">
            <v>Bülent Ecevit Muratpaşa Antalya</v>
          </cell>
          <cell r="D116" t="str">
            <v>Fener Mah. Bülent Ecevit Bul. Yanık Apt. No:16/A 16/B Muratpaşa Antalya (1716702699) (1738601960)</v>
          </cell>
          <cell r="E116" t="str">
            <v>MURATPAŞA</v>
          </cell>
          <cell r="F116">
            <v>43854</v>
          </cell>
          <cell r="G116" t="str">
            <v>ÜMİT KAAN ŞAHİN</v>
          </cell>
          <cell r="H116" t="str">
            <v>ŞADAN YURDAKUL</v>
          </cell>
        </row>
        <row r="117">
          <cell r="C117" t="str">
            <v>Çınarlı Cad. Muratpaşa Antalya</v>
          </cell>
          <cell r="D117" t="str">
            <v>Yeşilbahçe Mah. Çınarlı Cad. 5. Eyiler Apt. No:9/A 9/B Muratpaşa Antalya (1062424989) (5033431361)</v>
          </cell>
          <cell r="E117" t="str">
            <v>MURATPAŞA</v>
          </cell>
          <cell r="F117">
            <v>43854</v>
          </cell>
          <cell r="G117" t="str">
            <v>TUĞÇE KOCABAŞ</v>
          </cell>
          <cell r="H117" t="str">
            <v>VELİ GÖK</v>
          </cell>
        </row>
        <row r="118">
          <cell r="C118" t="str">
            <v>Osman Gazi Muratpaşa Antalya</v>
          </cell>
          <cell r="D118" t="str">
            <v>Soğuksu Mh. Toroslar Cd. Office 12 İş Merkezi No:62/A Muratpaşa Antalya</v>
          </cell>
          <cell r="E118" t="str">
            <v>MURATPAŞA</v>
          </cell>
          <cell r="F118">
            <v>43858</v>
          </cell>
          <cell r="G118" t="str">
            <v>FİKRET HOCA</v>
          </cell>
          <cell r="H118" t="str">
            <v>ALİ AKÇAY</v>
          </cell>
        </row>
        <row r="119">
          <cell r="C119" t="str">
            <v>Düden Park Muratpaşa Antalya</v>
          </cell>
          <cell r="D119" t="str">
            <v>Çağlayan Mah. 2051 Sok. No:49/A Muratpaşa Antalya (2900840618)</v>
          </cell>
          <cell r="E119" t="str">
            <v>MURATPAŞA</v>
          </cell>
          <cell r="F119">
            <v>43861</v>
          </cell>
          <cell r="G119" t="str">
            <v>ÜMİT KAAN ŞAHİN</v>
          </cell>
          <cell r="H119" t="str">
            <v>ŞADAN YURDAKUL</v>
          </cell>
        </row>
        <row r="120">
          <cell r="C120" t="str">
            <v>Antalya Caddesi Kepez Antalya</v>
          </cell>
          <cell r="D120" t="str">
            <v>Altınova Orta Mh. Antalya Caddesi No:202/A-B Kepez Antalya</v>
          </cell>
          <cell r="E120" t="str">
            <v>KEPEZ</v>
          </cell>
          <cell r="F120">
            <v>43868</v>
          </cell>
          <cell r="G120" t="str">
            <v>RAMAZAN ÇATALTAŞ</v>
          </cell>
          <cell r="H120" t="str">
            <v>ŞADAN YURDAKUL</v>
          </cell>
        </row>
        <row r="121">
          <cell r="C121" t="str">
            <v>Eski Lara Cad Muratpaşa Antalya</v>
          </cell>
          <cell r="D121" t="str">
            <v>Eski Lara Cad Muratpaşa Antalya 2/10 1961. SokakN:1</v>
          </cell>
          <cell r="E121" t="str">
            <v>MURATPAŞA</v>
          </cell>
          <cell r="F121">
            <v>43883</v>
          </cell>
          <cell r="G121" t="str">
            <v>ÜMİT KAAN ŞAHİN</v>
          </cell>
          <cell r="H121" t="str">
            <v>ŞADAN YURDAKUL</v>
          </cell>
        </row>
        <row r="122">
          <cell r="C122" t="str">
            <v>Molla Gürani Kepez Antalya</v>
          </cell>
          <cell r="D122" t="str">
            <v>Gazi Mh. 6560 Sk. No:5/C-D Kepez Antalya</v>
          </cell>
          <cell r="E122" t="str">
            <v>KEPEZ</v>
          </cell>
          <cell r="F122">
            <v>43889</v>
          </cell>
          <cell r="G122" t="str">
            <v>YUNUS BAYSAL</v>
          </cell>
          <cell r="H122" t="str">
            <v>ŞADAN YURDAKUL</v>
          </cell>
        </row>
        <row r="123">
          <cell r="C123" t="str">
            <v>Suphi Türel Kepez Antalya</v>
          </cell>
          <cell r="D123" t="str">
            <v>Göksu Mh. Suphi Türel Cd. No:28/BC Kepez Antalya</v>
          </cell>
          <cell r="E123" t="str">
            <v>KEPEZ</v>
          </cell>
          <cell r="F123">
            <v>43889</v>
          </cell>
          <cell r="G123" t="str">
            <v>SİNEM ÖZKAYA</v>
          </cell>
          <cell r="H123" t="str">
            <v>ŞADAN YURDAKUL</v>
          </cell>
        </row>
        <row r="124">
          <cell r="C124" t="str">
            <v>Turgut Özal Cd. Kepez Antalya</v>
          </cell>
          <cell r="D124" t="str">
            <v>Baraj Mh. Turgut Özal Cd. No:192/D Kepez Antalya</v>
          </cell>
          <cell r="E124" t="str">
            <v>KEPEZ</v>
          </cell>
          <cell r="F124">
            <v>43964</v>
          </cell>
          <cell r="G124" t="str">
            <v>RAMAZAN ÇATALTAŞ</v>
          </cell>
          <cell r="H124" t="str">
            <v>ŞADAN YURDAKUL</v>
          </cell>
        </row>
        <row r="125">
          <cell r="C125" t="str">
            <v>Sosyal Güvenlik Muratpaşa Antalya</v>
          </cell>
          <cell r="D125" t="str">
            <v>Üçgen Mah. Şarampol Cad. No:192 A Merkez Murtapaşa Antalya (1310293368)</v>
          </cell>
          <cell r="E125" t="str">
            <v>MURATPAŞA</v>
          </cell>
          <cell r="F125">
            <v>44008</v>
          </cell>
          <cell r="G125" t="str">
            <v>NESLİHAN ÖZYURT</v>
          </cell>
          <cell r="H125" t="str">
            <v>ALİ AKÇAY</v>
          </cell>
        </row>
        <row r="126">
          <cell r="C126" t="str">
            <v>Kültür Merkezi Muratpaşa Antalya</v>
          </cell>
          <cell r="D126" t="str">
            <v>Çaybaşı Mah. Ali Çetinkaya Cad. 2. Oba Apt. Sit. No: 54 A-D-E-F Merkez Muratpaşa Antalya</v>
          </cell>
          <cell r="E126" t="str">
            <v>MURATPAŞA</v>
          </cell>
          <cell r="F126">
            <v>44034</v>
          </cell>
          <cell r="G126" t="str">
            <v>ÜMİT KAAN ŞAHİN</v>
          </cell>
          <cell r="H126" t="str">
            <v>ŞADAN YURDAKUL</v>
          </cell>
        </row>
        <row r="127">
          <cell r="C127" t="str">
            <v>Evliya Çelebi Muratpaşa Antalya</v>
          </cell>
          <cell r="D127" t="str">
            <v>Etiler Mah. 882 Sok. Mollaoğlu Apt. No:28 / A Muratpaşa Antalya (1465973673)</v>
          </cell>
          <cell r="E127" t="str">
            <v>MURATPAŞA</v>
          </cell>
          <cell r="F127">
            <v>43332</v>
          </cell>
          <cell r="G127" t="str">
            <v>İSMET YILMAZ</v>
          </cell>
          <cell r="H127" t="str">
            <v>GİZEM TOSUN</v>
          </cell>
        </row>
        <row r="128">
          <cell r="C128" t="str">
            <v>Stadyum Muratpaşa Antalya</v>
          </cell>
          <cell r="D128" t="str">
            <v>Meydankavağı Mah. 1550 Sk. No:39 A-B Merkez Muratpaşa Antalya (5284779948)(5056824963)</v>
          </cell>
          <cell r="E128" t="str">
            <v>MURATPAŞA</v>
          </cell>
          <cell r="F128">
            <v>44062</v>
          </cell>
          <cell r="G128" t="str">
            <v>ABDULLAH BAY</v>
          </cell>
          <cell r="H128" t="str">
            <v>VELİ GÖK</v>
          </cell>
        </row>
        <row r="129">
          <cell r="C129" t="str">
            <v>Varsak Bey Cd. Kepez Antalya</v>
          </cell>
          <cell r="D129" t="str">
            <v>Şelale Mh. Varsak Bey Cd. No:80/A Kepez Antalya</v>
          </cell>
          <cell r="E129" t="str">
            <v>KEPEZ</v>
          </cell>
          <cell r="F129">
            <v>44064</v>
          </cell>
          <cell r="G129" t="str">
            <v>TUĞBA ALDI</v>
          </cell>
          <cell r="H129" t="str">
            <v>VELİ GÖK</v>
          </cell>
        </row>
        <row r="130">
          <cell r="C130" t="str">
            <v>Kümeevleri Muratpaşa Antalya</v>
          </cell>
          <cell r="D130" t="str">
            <v>Dutlubahçe Mah. 751 Sok. Özdemir Apt. Sit. No: 15 A Muratpaşa Antalya (1079223861)</v>
          </cell>
          <cell r="E130" t="str">
            <v>MURATPAŞA</v>
          </cell>
          <cell r="F130">
            <v>44084</v>
          </cell>
          <cell r="G130" t="str">
            <v>NESLİHAN ÖZYURT</v>
          </cell>
          <cell r="H130" t="str">
            <v>ALİ AKÇAY</v>
          </cell>
        </row>
        <row r="131">
          <cell r="C131" t="str">
            <v>Yaşam Muratpaşa Antalya</v>
          </cell>
          <cell r="D131" t="str">
            <v>Cumhuriyet Mah. 650 Sk. Safalar 2 Apt. Sit. No:10 A Muratpaşa Antalya (2525541252)</v>
          </cell>
          <cell r="E131" t="str">
            <v>MURATPAŞA</v>
          </cell>
          <cell r="F131">
            <v>44089</v>
          </cell>
          <cell r="G131" t="str">
            <v>NESLİHAN ÖZYURT</v>
          </cell>
          <cell r="H131" t="str">
            <v>ALİ AKÇAY</v>
          </cell>
        </row>
        <row r="132">
          <cell r="C132" t="str">
            <v>İsmet Gökşen Muratpaşa Antalya</v>
          </cell>
          <cell r="D132" t="str">
            <v>Şirinyalı Mah. İsmet Gökşen Cad. Serpil Apt. Sit. No: 109 A Muratpaşa Antalya (1127222717)</v>
          </cell>
          <cell r="E132" t="str">
            <v>MURATPAŞA</v>
          </cell>
          <cell r="F132">
            <v>44100</v>
          </cell>
          <cell r="G132" t="str">
            <v>ERDAL ARSLAN</v>
          </cell>
          <cell r="H132" t="str">
            <v>ŞADAN YURDAKUL</v>
          </cell>
        </row>
        <row r="133">
          <cell r="C133" t="str">
            <v>Köşk Muratpaşa Antalya</v>
          </cell>
          <cell r="D133" t="str">
            <v>Şirinyalı Mah. 1486 Sok. Hamurcu Apt Sit. No: 17 A Merkez Muratpaşa Antalya (1491410591)</v>
          </cell>
          <cell r="E133" t="str">
            <v>MURATPAŞA</v>
          </cell>
          <cell r="F133">
            <v>44162</v>
          </cell>
          <cell r="G133" t="str">
            <v>TUĞÇE KOCABAŞ</v>
          </cell>
          <cell r="H133" t="str">
            <v>VELİ GÖK</v>
          </cell>
        </row>
        <row r="134">
          <cell r="C134" t="str">
            <v>Gazi Bulvarı / ANTALYA</v>
          </cell>
          <cell r="D134" t="str">
            <v>Dutlubahçe Mah. 760.Sok. No: 37/1 Zemin Depo Muratpaşa / ANTALYA</v>
          </cell>
          <cell r="E134" t="str">
            <v>MURATPAŞA</v>
          </cell>
          <cell r="F134">
            <v>41363</v>
          </cell>
          <cell r="G134" t="str">
            <v>İSMET YILMAZ</v>
          </cell>
          <cell r="H134" t="str">
            <v>GİZEM TOSUN</v>
          </cell>
        </row>
        <row r="135">
          <cell r="C135" t="str">
            <v>Mimar Sinan Muratpaşa Antalya</v>
          </cell>
          <cell r="D135" t="str">
            <v>Yıldız Mh. Mimar Sinan Cd. Çetin Apartmanı No: 37 A-B Muratpaşa Antalya</v>
          </cell>
          <cell r="E135" t="str">
            <v>MURATPAŞA</v>
          </cell>
          <cell r="F135">
            <v>44194</v>
          </cell>
          <cell r="G135" t="str">
            <v>ÖZKAN DEMİR</v>
          </cell>
          <cell r="H135" t="str">
            <v>ALİ AKÇAY</v>
          </cell>
        </row>
        <row r="136">
          <cell r="C136" t="str">
            <v>Alpay Anaokulu Kepez Antalya</v>
          </cell>
          <cell r="D136" t="str">
            <v>Şelale Mh. Anadolu Cd. No:56/A-B Kepez Antalya</v>
          </cell>
          <cell r="E136" t="str">
            <v>KEPEZ</v>
          </cell>
          <cell r="F136">
            <v>44237</v>
          </cell>
          <cell r="G136" t="str">
            <v>TUĞBA ALDI</v>
          </cell>
          <cell r="H136" t="str">
            <v>VELİ GÖK</v>
          </cell>
        </row>
        <row r="137">
          <cell r="C137" t="str">
            <v>Sülemiş Muratpaşa Antalya</v>
          </cell>
          <cell r="D137" t="str">
            <v>Şirinyalı Mah. 1503/1 Sok. Villa Cennet Sit. No:15 A Muratpaşa Antalya (5126988319)</v>
          </cell>
          <cell r="E137" t="str">
            <v>MURATPAŞA</v>
          </cell>
          <cell r="F137">
            <v>44253</v>
          </cell>
          <cell r="G137" t="str">
            <v>ERDAL ARSLAN</v>
          </cell>
          <cell r="H137" t="str">
            <v>ŞADAN YURDAKUL</v>
          </cell>
        </row>
        <row r="138">
          <cell r="C138" t="str">
            <v>İsmet İnönü Kepez Antalya</v>
          </cell>
          <cell r="D138" t="str">
            <v>Hüsnü Karakaş Mh. Fatin Rüştü Zorlu Cd. No:13/AA-AB Kepez Antalya</v>
          </cell>
          <cell r="E138" t="str">
            <v>KEPEZ</v>
          </cell>
          <cell r="F138">
            <v>44266</v>
          </cell>
          <cell r="G138" t="str">
            <v>RAMAZAN ÇATALTAŞ</v>
          </cell>
          <cell r="H138" t="str">
            <v>ŞADAN YURDAKUL</v>
          </cell>
        </row>
        <row r="139">
          <cell r="C139" t="str">
            <v>Avni Tolunay Muratpaşa Antalya</v>
          </cell>
          <cell r="D139" t="str">
            <v>Meydankavağı Mah. 1562/1 Sok. No:12 A Muratpaşa Antalya (1336392137)</v>
          </cell>
          <cell r="E139" t="str">
            <v>MURATPAŞA</v>
          </cell>
          <cell r="F139">
            <v>44267</v>
          </cell>
          <cell r="G139" t="str">
            <v>ABDULLAH BAY</v>
          </cell>
          <cell r="H139" t="str">
            <v>VELİ GÖK</v>
          </cell>
        </row>
        <row r="140">
          <cell r="C140" t="str">
            <v>KılıçPark Muratpaşa Antalya</v>
          </cell>
          <cell r="D140" t="str">
            <v>Konuksever Mahallesi 821 Sokak C. Doğan Apt. No: 9A Muratpaşa / Antalya</v>
          </cell>
          <cell r="E140" t="str">
            <v>MURATPAŞA</v>
          </cell>
          <cell r="F140">
            <v>45260</v>
          </cell>
          <cell r="G140" t="str">
            <v>İSMET YILMAZ</v>
          </cell>
          <cell r="H140" t="str">
            <v>GİZEM TOSUN</v>
          </cell>
        </row>
        <row r="141">
          <cell r="C141" t="str">
            <v>Barınaklar Muratpaşa Antalya</v>
          </cell>
          <cell r="D141" t="str">
            <v>Çağlayan Mah. Barınaklar Bulv. Pınar Apt. Sit. No:116 A Muratpaşa Antalya (2958424620)</v>
          </cell>
          <cell r="E141" t="str">
            <v>MURATPAŞA</v>
          </cell>
          <cell r="F141">
            <v>44320</v>
          </cell>
          <cell r="G141" t="str">
            <v>EMRAH AKINCI</v>
          </cell>
          <cell r="H141" t="str">
            <v>ALİ AKÇAY</v>
          </cell>
        </row>
        <row r="142">
          <cell r="C142" t="str">
            <v>Yeni Düdenbaşı Kepez Antalya</v>
          </cell>
          <cell r="D142" t="str">
            <v>Teomanpaşa Mh. 15 Temmuz Şehitler Cd. No:29/A Kepez Antalya</v>
          </cell>
          <cell r="E142" t="str">
            <v>KEPEZ</v>
          </cell>
          <cell r="F142">
            <v>44327</v>
          </cell>
          <cell r="G142" t="str">
            <v>KADİR ÇETİN</v>
          </cell>
          <cell r="H142" t="str">
            <v>VELİ GÖK</v>
          </cell>
        </row>
        <row r="143">
          <cell r="C143" t="str">
            <v>Konuksever Muratpaşa Antalya</v>
          </cell>
          <cell r="D143" t="str">
            <v>Konuksever Mah. 819 Sok. Erçelik Apt No:10 K:1 Muratpaşa Antalya (1287717183)</v>
          </cell>
          <cell r="E143" t="str">
            <v>MURATPAŞA</v>
          </cell>
          <cell r="F143">
            <v>43384</v>
          </cell>
          <cell r="G143" t="str">
            <v>İSMET YILMAZ</v>
          </cell>
          <cell r="H143" t="str">
            <v>GİZEM TOSUN</v>
          </cell>
        </row>
        <row r="144">
          <cell r="C144" t="str">
            <v>Mehmet Çetin Muratpaşa/Antalya</v>
          </cell>
          <cell r="D144" t="str">
            <v>Muratpaşa Mahallesi, Karacaoğlan Cd. 597 Sk. Çetin Apartm. No:11(1-2-3-4-5-6 Nolu Dükkanlar)</v>
          </cell>
          <cell r="E144" t="str">
            <v>MURATPAŞA</v>
          </cell>
          <cell r="F144">
            <v>45838</v>
          </cell>
          <cell r="G144" t="str">
            <v>İSMET YILMAZ</v>
          </cell>
          <cell r="H144" t="str">
            <v>GİZEM TOSUN</v>
          </cell>
        </row>
        <row r="145">
          <cell r="C145" t="str">
            <v>Zambak Muratpaşa Antalya</v>
          </cell>
          <cell r="D145" t="str">
            <v>Sedir Mah. 726 Sok. Ünver Osman Apt. Sit. No: 6 A - 6 B Muratpaşa Antalya (1391813845)(1439512250)</v>
          </cell>
          <cell r="E145" t="str">
            <v>MURATPAŞA</v>
          </cell>
          <cell r="F145">
            <v>44469</v>
          </cell>
          <cell r="G145" t="str">
            <v>KILIÇASLAN İYİCAN</v>
          </cell>
          <cell r="H145" t="str">
            <v>ALİ AKÇAY</v>
          </cell>
        </row>
        <row r="146">
          <cell r="C146" t="str">
            <v>Gaziler Kepez Antalya</v>
          </cell>
          <cell r="D146" t="str">
            <v>Gaziler Mah. Gaziler Cad. No:192/D Kepez Antalya</v>
          </cell>
          <cell r="E146" t="str">
            <v>KEPEZ</v>
          </cell>
          <cell r="F146">
            <v>44516</v>
          </cell>
          <cell r="G146" t="str">
            <v>TUĞBA ALDI</v>
          </cell>
          <cell r="H146" t="str">
            <v>VELİ GÖK</v>
          </cell>
        </row>
        <row r="147">
          <cell r="C147" t="str">
            <v>Tıp Merkezi Muratpaşa Antalya</v>
          </cell>
          <cell r="D147" t="str">
            <v>Sedir Mah. Gazi Bulvarı Bulvar Apt. Sitesi No:74 A Muratpaşa Antalya (1797700323)</v>
          </cell>
          <cell r="E147" t="str">
            <v>MURATPAŞA</v>
          </cell>
          <cell r="F147">
            <v>44617</v>
          </cell>
          <cell r="G147" t="str">
            <v>FİKRET HOCA</v>
          </cell>
          <cell r="H147" t="str">
            <v>ALİ AKÇAY</v>
          </cell>
        </row>
        <row r="148">
          <cell r="C148" t="str">
            <v>Cumartesi Pazarı Kepez Antalya</v>
          </cell>
          <cell r="D148" t="str">
            <v>Habibler Mah. 5608 Sk. No:6/AD-AE-AF-AT Kepez Antalya</v>
          </cell>
          <cell r="E148" t="str">
            <v>KEPEZ</v>
          </cell>
          <cell r="F148">
            <v>44674</v>
          </cell>
          <cell r="G148" t="str">
            <v>SELİM GÜNDÜZ</v>
          </cell>
          <cell r="H148" t="str">
            <v>ŞADAN YURDAKUL</v>
          </cell>
        </row>
        <row r="149">
          <cell r="C149" t="str">
            <v>Göksu Mh. Kepez Antalya</v>
          </cell>
          <cell r="D149" t="str">
            <v>Göksu Mah. 6806 Sok. No:12-C Kepez Antalya</v>
          </cell>
          <cell r="E149" t="str">
            <v>KEPEZ</v>
          </cell>
          <cell r="F149">
            <v>44704</v>
          </cell>
          <cell r="G149" t="str">
            <v>SİNEM ÖZKAYA</v>
          </cell>
          <cell r="H149" t="str">
            <v>ŞADAN YURDAKUL</v>
          </cell>
        </row>
        <row r="150">
          <cell r="C150" t="str">
            <v>Mustafa Koç Camii Kepez-Antalya</v>
          </cell>
          <cell r="D150" t="str">
            <v>Sütçüler Mahallesi 6506 Sokak No:20/B KEPEZ/ANTALYA</v>
          </cell>
          <cell r="E150" t="str">
            <v>KEPEZ</v>
          </cell>
          <cell r="F150">
            <v>44740</v>
          </cell>
          <cell r="G150" t="str">
            <v>YUNUS BAYSAL</v>
          </cell>
          <cell r="H150" t="str">
            <v>ŞADAN YURDAKUL</v>
          </cell>
        </row>
        <row r="151">
          <cell r="C151" t="str">
            <v>Spor89 Kepez Antalya</v>
          </cell>
          <cell r="D151" t="str">
            <v>Zeytinlik mahallesi 20. cadde No:72/A</v>
          </cell>
          <cell r="E151" t="str">
            <v>KEPEZ</v>
          </cell>
          <cell r="F151">
            <v>44796</v>
          </cell>
          <cell r="G151" t="str">
            <v>TUĞBA ALDI</v>
          </cell>
          <cell r="H151" t="str">
            <v>VELİ GÖK</v>
          </cell>
        </row>
        <row r="152">
          <cell r="C152" t="str">
            <v>Büyükşehir Muratpaşa Antalya</v>
          </cell>
          <cell r="D152" t="str">
            <v>Yüksekalan Mh. 538. Sk. 5241 Ada 03 parsel nolu dükkan Muratpaşa/Antalya</v>
          </cell>
          <cell r="E152" t="str">
            <v>MURATPAŞA</v>
          </cell>
          <cell r="F152">
            <v>45738</v>
          </cell>
          <cell r="G152" t="str">
            <v>MEHMET KÜÇÜKOĞLU</v>
          </cell>
          <cell r="H152" t="str">
            <v>GİZEM TOSUN</v>
          </cell>
        </row>
        <row r="153">
          <cell r="C153" t="str">
            <v>Sanat Akademi Muratpaşa Antalya</v>
          </cell>
          <cell r="D153" t="str">
            <v>Meydan Kavağı Mah. İsmail Cem Cad. Reşide Hanım Sit. A Blok 36/A Muratpaşa Antalya (2744834645)</v>
          </cell>
          <cell r="E153" t="str">
            <v>MURATPAŞA</v>
          </cell>
          <cell r="F153">
            <v>44856</v>
          </cell>
          <cell r="G153" t="str">
            <v>ABDULLAH BAY</v>
          </cell>
          <cell r="H153" t="str">
            <v>VELİ GÖK</v>
          </cell>
        </row>
        <row r="154">
          <cell r="C154" t="str">
            <v>Celal Kaya Muratpaşa Antalya</v>
          </cell>
          <cell r="D154" t="str">
            <v>Haşim İşcan mahallesi Arık caddesi Eray Apt. No:10/A</v>
          </cell>
          <cell r="E154" t="str">
            <v>MURATPAŞA</v>
          </cell>
          <cell r="F154">
            <v>45167</v>
          </cell>
          <cell r="G154" t="str">
            <v>MEHMET KÜÇÜKOĞLU</v>
          </cell>
          <cell r="H154" t="str">
            <v>GİZEM TOSUN</v>
          </cell>
        </row>
        <row r="155">
          <cell r="C155" t="str">
            <v>Fabrikalar Kepez Antalya</v>
          </cell>
          <cell r="D155" t="str">
            <v>Fabrikalar Mah. Fikri Erten Cad. Salepçi Sit. No:27/A Kepez Antalya (2425048044)</v>
          </cell>
          <cell r="E155" t="str">
            <v>KEPEZ</v>
          </cell>
          <cell r="F155">
            <v>44884</v>
          </cell>
          <cell r="G155" t="str">
            <v>KILIÇASLAN İYİCAN</v>
          </cell>
          <cell r="H155" t="str">
            <v>ALİ AKÇAY</v>
          </cell>
        </row>
        <row r="156">
          <cell r="C156" t="str">
            <v>Gençlik/Muratpaşa/ANTALYA</v>
          </cell>
          <cell r="D156" t="str">
            <v>Gençlik Mah.Fevzi Çakmak Cad.Enver Bey Apt.No:28/1 Muratpaşa / ANTALYA</v>
          </cell>
          <cell r="E156" t="str">
            <v>MURATPAŞA</v>
          </cell>
          <cell r="F156">
            <v>41747</v>
          </cell>
          <cell r="G156" t="str">
            <v>MEHMET KÜÇÜKOĞLU</v>
          </cell>
          <cell r="H156" t="str">
            <v>GİZEM TOSUN</v>
          </cell>
        </row>
        <row r="157">
          <cell r="C157" t="str">
            <v>Fatmanur Çelik Kepez Antalya</v>
          </cell>
          <cell r="D157" t="str">
            <v>Teomanpaşa Mah. 2226 Sok. Yazgı Apt. No: 6 A / KEPEZ / ANTALYA (2842039493)</v>
          </cell>
          <cell r="E157" t="str">
            <v>KEPEZ</v>
          </cell>
          <cell r="F157">
            <v>44921</v>
          </cell>
          <cell r="G157" t="str">
            <v>KADİR ÇETİN</v>
          </cell>
          <cell r="H157" t="str">
            <v>VELİ GÖK</v>
          </cell>
        </row>
        <row r="158">
          <cell r="C158" t="str">
            <v>Kız Yurdu Kepez Antalya</v>
          </cell>
          <cell r="D158" t="str">
            <v>Habibler Mah. 6576 Sok. No:16AA Kepez / Antalya (5160065354)</v>
          </cell>
          <cell r="E158" t="str">
            <v>KEPEZ</v>
          </cell>
          <cell r="F158">
            <v>44921</v>
          </cell>
          <cell r="G158" t="str">
            <v>YUNUS BAYSAL</v>
          </cell>
          <cell r="H158" t="str">
            <v>ŞADAN YURDAKUL</v>
          </cell>
        </row>
        <row r="159">
          <cell r="C159" t="str">
            <v>23. Cadde Kepez Antalya</v>
          </cell>
          <cell r="D159" t="str">
            <v>Ayanoğlu Mh. 23. Cadde No:16/A Kepez / Antalya (5484033971)</v>
          </cell>
          <cell r="E159" t="str">
            <v>KEPEZ</v>
          </cell>
          <cell r="F159">
            <v>44924</v>
          </cell>
          <cell r="G159" t="str">
            <v>SELİM GÜNDÜZ</v>
          </cell>
          <cell r="H159" t="str">
            <v>ŞADAN YURDAKUL</v>
          </cell>
        </row>
        <row r="160">
          <cell r="C160" t="str">
            <v>Yüzbaşı Mustafa Ertuğrul Kepez Antalya</v>
          </cell>
          <cell r="D160" t="str">
            <v>Gazi Mh. 6545. Sokak A Blok No: 18AB Kepez / Antalya (5398758184)</v>
          </cell>
          <cell r="E160" t="str">
            <v>KEPEZ</v>
          </cell>
          <cell r="F160">
            <v>44925</v>
          </cell>
          <cell r="G160" t="str">
            <v>YUNUS BAYSAL</v>
          </cell>
          <cell r="H160" t="str">
            <v>ŞADAN YURDAKUL</v>
          </cell>
        </row>
        <row r="161">
          <cell r="C161" t="str">
            <v>Üçyol Kepez Antalya</v>
          </cell>
          <cell r="D161" t="str">
            <v>Baraj Mah. 5833 Sok. 1A-BLOK No: 4A /  Kepez / Antalya (5287665797)</v>
          </cell>
          <cell r="E161" t="str">
            <v>KEPEZ</v>
          </cell>
          <cell r="F161">
            <v>44947</v>
          </cell>
          <cell r="G161" t="str">
            <v>RAMAZAN ÇATALTAŞ</v>
          </cell>
          <cell r="H161" t="str">
            <v>ŞADAN YURDAKUL</v>
          </cell>
        </row>
        <row r="162">
          <cell r="C162" t="str">
            <v>Orhan Veli Cd Kepez Antalya</v>
          </cell>
          <cell r="D162" t="str">
            <v>Ulus Mah. Orhan Veli Cad. No:58/A Yüce apt. Kepez / Antalya (1363613942)</v>
          </cell>
          <cell r="E162" t="str">
            <v>KEPEZ</v>
          </cell>
          <cell r="F162">
            <v>44950</v>
          </cell>
          <cell r="G162" t="str">
            <v>FİKRET HOCA</v>
          </cell>
          <cell r="H162" t="str">
            <v>ALİ AKÇAY</v>
          </cell>
        </row>
        <row r="163">
          <cell r="C163" t="str">
            <v>Atatürk Cd Kepez Antalya</v>
          </cell>
          <cell r="D163" t="str">
            <v>Şelale Mah. 7497 Sok. No: 13/1  13/ 2  13/3  Kepez / ANTALYA</v>
          </cell>
          <cell r="E163" t="str">
            <v>KEPEZ</v>
          </cell>
          <cell r="F163">
            <v>44957</v>
          </cell>
          <cell r="G163" t="str">
            <v>TUĞBA ALDI</v>
          </cell>
          <cell r="H163" t="str">
            <v>VELİ GÖK</v>
          </cell>
        </row>
        <row r="164">
          <cell r="C164" t="str">
            <v>Borsa Lisesi Kepez Antalya</v>
          </cell>
          <cell r="D164" t="str">
            <v>Hüsnü Karakaş mahallesi. 3608 sokak. 15/A 15/B</v>
          </cell>
          <cell r="E164" t="str">
            <v>KEPEZ</v>
          </cell>
          <cell r="F164">
            <v>44985</v>
          </cell>
          <cell r="G164" t="str">
            <v>RAMAZAN ÇATALTAŞ</v>
          </cell>
          <cell r="H164" t="str">
            <v>ŞADAN YURDAKUL</v>
          </cell>
        </row>
        <row r="165">
          <cell r="C165" t="str">
            <v>Hakan Karakaya Kepez Antalya</v>
          </cell>
          <cell r="D165" t="str">
            <v>Güneş Mah. Şehit Astsubay Unay Ömer Halis Cd. No: 112 A / KEPEZ / ANTALYA (5317626876)</v>
          </cell>
          <cell r="E165" t="str">
            <v>KEPEZ</v>
          </cell>
          <cell r="F165">
            <v>44985</v>
          </cell>
          <cell r="G165" t="str">
            <v>SALİH SERKAN ERÇİN</v>
          </cell>
          <cell r="H165" t="str">
            <v>VELİ GÖK</v>
          </cell>
        </row>
        <row r="166">
          <cell r="C166" t="str">
            <v>Ritim Kepez Antalya</v>
          </cell>
          <cell r="D166" t="str">
            <v>Hüsnü Karakaş  Mah. Hasan Polatkan Cd. Ritim ANTALYA A blok  No: 15 AA / KEPEZ / ANTALYA</v>
          </cell>
          <cell r="E166" t="str">
            <v>KEPEZ</v>
          </cell>
          <cell r="F166">
            <v>44991</v>
          </cell>
          <cell r="G166" t="str">
            <v>SALİH SERKAN ERÇİN</v>
          </cell>
          <cell r="H166" t="str">
            <v>VELİ GÖK</v>
          </cell>
        </row>
        <row r="167">
          <cell r="C167" t="str">
            <v>Uhud Camii Kepez</v>
          </cell>
          <cell r="D167" t="str">
            <v>HÜSNÜ KARAKAŞ Mah. ELMALILI HAMDİ YAZIR Cd. AY Işığı sit. C BLOK No: 9 C / KEPEZ / ANTALYA</v>
          </cell>
          <cell r="E167" t="str">
            <v>KEPEZ</v>
          </cell>
          <cell r="F167">
            <v>45016</v>
          </cell>
          <cell r="G167" t="str">
            <v>SALİH SERKAN ERÇİN</v>
          </cell>
          <cell r="H167" t="str">
            <v>VELİ GÖK</v>
          </cell>
        </row>
        <row r="168">
          <cell r="C168" t="str">
            <v>Hurdacılar Kepez</v>
          </cell>
          <cell r="D168" t="str">
            <v>Şelale mah.Hacı Durmuş cad.65/A Kepez Antalya</v>
          </cell>
          <cell r="E168" t="str">
            <v>KEPEZ</v>
          </cell>
          <cell r="F168">
            <v>45077</v>
          </cell>
          <cell r="G168" t="str">
            <v>TUĞBA ALDI</v>
          </cell>
          <cell r="H168" t="str">
            <v>VELİ GÖK</v>
          </cell>
        </row>
        <row r="169">
          <cell r="C169" t="str">
            <v>Turgay Koca Kepez</v>
          </cell>
          <cell r="D169" t="str">
            <v>Ayanoğlu mahallesi.General Hulusi Kayın caddesi. No:42/B</v>
          </cell>
          <cell r="E169" t="str">
            <v>KEPEZ</v>
          </cell>
          <cell r="F169">
            <v>45084</v>
          </cell>
          <cell r="G169" t="str">
            <v>SELİM GÜNDÜZ</v>
          </cell>
          <cell r="H169" t="str">
            <v>ŞADAN YURDAKUL</v>
          </cell>
        </row>
        <row r="170">
          <cell r="C170" t="str">
            <v>Işıklar</v>
          </cell>
          <cell r="D170" t="str">
            <v>Gençlik mah.ışıklar cad dış kapı no:43 avşaroğlu cade apt bağımsız bölüm no :29 ve 30</v>
          </cell>
          <cell r="E170" t="str">
            <v>MURATPAŞA</v>
          </cell>
          <cell r="F170">
            <v>46029</v>
          </cell>
          <cell r="G170" t="str">
            <v>MEHMET KÜÇÜKOĞLU</v>
          </cell>
          <cell r="H170" t="str">
            <v>GİZEM TOSUN</v>
          </cell>
        </row>
        <row r="171">
          <cell r="C171" t="str">
            <v>Meltem Muratpaşa Antalya</v>
          </cell>
          <cell r="D171" t="str">
            <v>Meltem mah. 3807 Sokak. Anakent Sit. B2 Blok No :9 D / 1 (2312243435)</v>
          </cell>
          <cell r="E171" t="str">
            <v>MURATPAŞA</v>
          </cell>
          <cell r="F171">
            <v>45138</v>
          </cell>
          <cell r="G171" t="str">
            <v>İBRAHİM DURBALİ</v>
          </cell>
          <cell r="H171" t="str">
            <v>ALİ AKÇAY</v>
          </cell>
        </row>
        <row r="172">
          <cell r="C172" t="str">
            <v>Kızıl Saray Muratpaşa/Antalya</v>
          </cell>
          <cell r="D172" t="str">
            <v>Kızılsaray Mahallesi, 68.Sokak, No:127 Muratpaşa/Antalya</v>
          </cell>
          <cell r="E172" t="str">
            <v>MURATPAŞA</v>
          </cell>
          <cell r="F172">
            <v>45504</v>
          </cell>
          <cell r="G172" t="str">
            <v>MEHMET KÜÇÜKOĞLU</v>
          </cell>
          <cell r="H172" t="str">
            <v>GİZEM TOSUN</v>
          </cell>
        </row>
        <row r="173">
          <cell r="C173" t="str">
            <v>Adliye Muratpaşa Antalya</v>
          </cell>
          <cell r="D173" t="str">
            <v>Bayındır mh.322 sokak.Doğan Apt. No:47/A Muratpaşa /Antalya</v>
          </cell>
          <cell r="E173" t="str">
            <v>MURATPAŞA</v>
          </cell>
          <cell r="F173">
            <v>45199</v>
          </cell>
          <cell r="G173" t="str">
            <v>ÖZKAN DEMİR</v>
          </cell>
          <cell r="H173" t="str">
            <v>ALİ AKÇAY</v>
          </cell>
        </row>
        <row r="174">
          <cell r="C174" t="str">
            <v>Nene Hatun Kepez Antalya</v>
          </cell>
          <cell r="D174" t="str">
            <v>Göksu mahallesi. Nene Hatun Caddesi No :7/A Kepez/Antalya</v>
          </cell>
          <cell r="E174" t="str">
            <v>KEPEZ</v>
          </cell>
          <cell r="F174">
            <v>45209</v>
          </cell>
          <cell r="G174" t="str">
            <v>SİNEM ÖZKAYA</v>
          </cell>
          <cell r="H174" t="str">
            <v>ŞADAN YURDAKUL</v>
          </cell>
        </row>
        <row r="175">
          <cell r="C175" t="str">
            <v>Milli Egemenlik Muratpaşa ANTALYA</v>
          </cell>
          <cell r="D175" t="str">
            <v>Kışla Mah. Milli Egemenlik Cad. 24K Muratpaşa / Antalya (1450388895) (42 sokak No:2A Muratpaşa Antalya</v>
          </cell>
          <cell r="E175" t="str">
            <v>MURATPAŞA</v>
          </cell>
          <cell r="F175">
            <v>42228</v>
          </cell>
          <cell r="G175" t="str">
            <v>MEHMET KÜÇÜKOĞLU</v>
          </cell>
          <cell r="H175" t="str">
            <v>GİZEM TOSUN</v>
          </cell>
        </row>
        <row r="176">
          <cell r="C176" t="str">
            <v>Nirivana Kepez Antalya</v>
          </cell>
          <cell r="D176" t="str">
            <v>Habibler mah.Elmalılı Hamdi Yazır cad. No:87A Kepez/Antalya</v>
          </cell>
          <cell r="E176" t="str">
            <v>KEPEZ</v>
          </cell>
          <cell r="F176">
            <v>45289</v>
          </cell>
          <cell r="G176" t="str">
            <v>RAMAZAN ÇATALTAŞ</v>
          </cell>
          <cell r="H176" t="str">
            <v>ŞADAN YURDAKUL</v>
          </cell>
        </row>
        <row r="177">
          <cell r="C177" t="str">
            <v>Ata Park Muratpaşa Antalya</v>
          </cell>
          <cell r="D177" t="str">
            <v>Güzeoba mah.2253 sokak (KOZAN SOKAK) Nazmiye Öz Apart.  no:11/A 11/B</v>
          </cell>
          <cell r="E177" t="str">
            <v>MURATPAŞA</v>
          </cell>
          <cell r="F177">
            <v>45290</v>
          </cell>
          <cell r="G177" t="str">
            <v>ÇAĞRI YALÇIN</v>
          </cell>
          <cell r="H177" t="str">
            <v>VELİ GÖK</v>
          </cell>
        </row>
        <row r="178">
          <cell r="C178" t="str">
            <v>Kanal Yolu Kepez Antalya</v>
          </cell>
          <cell r="D178" t="str">
            <v>Ayanoğlu mah.Şehit Musa Özkan Cd. No:35/A-B</v>
          </cell>
          <cell r="E178" t="str">
            <v>KEPEZ</v>
          </cell>
          <cell r="F178">
            <v>45291</v>
          </cell>
          <cell r="G178" t="str">
            <v>SELİM GÜNDÜZ</v>
          </cell>
          <cell r="H178" t="str">
            <v>ŞADAN YURDAKUL</v>
          </cell>
        </row>
        <row r="179">
          <cell r="C179" t="str">
            <v>Erbakan Kepez Antalya</v>
          </cell>
          <cell r="D179" t="str">
            <v>Habipler Mh. Prof Dr. Necmettin Erbakan Cd.  Fatih Apt. No:35/1AA</v>
          </cell>
          <cell r="E179" t="str">
            <v>KEPEZ</v>
          </cell>
          <cell r="F179">
            <v>45307</v>
          </cell>
          <cell r="G179" t="str">
            <v>YUNUS BAYSAL</v>
          </cell>
          <cell r="H179" t="str">
            <v>ŞADAN YURDAKUL</v>
          </cell>
        </row>
        <row r="180">
          <cell r="C180" t="str">
            <v>Kütüphane Kepez Antalya</v>
          </cell>
          <cell r="D180" t="str">
            <v>Teomanpaşa mahallesi Necip Fazıl Kısakürek caddesi No:19/A Kepez/Antalya</v>
          </cell>
          <cell r="E180" t="str">
            <v>KEPEZ</v>
          </cell>
          <cell r="F180">
            <v>45321</v>
          </cell>
          <cell r="G180" t="str">
            <v>KADİR ÇETİN</v>
          </cell>
          <cell r="H180" t="str">
            <v>VELİ GÖK</v>
          </cell>
        </row>
        <row r="181">
          <cell r="C181" t="str">
            <v>Farabi Kepez Antalya</v>
          </cell>
          <cell r="D181" t="str">
            <v>Göksu mah.Farabi Cad. Fatma Hanım Apt. No:13/A</v>
          </cell>
          <cell r="E181" t="str">
            <v>KEPEZ</v>
          </cell>
          <cell r="F181">
            <v>45322</v>
          </cell>
          <cell r="G181" t="str">
            <v>SİNEM ÖZKAYA</v>
          </cell>
          <cell r="H181" t="str">
            <v>ŞADAN YURDAKUL</v>
          </cell>
        </row>
        <row r="182">
          <cell r="C182" t="str">
            <v>Meriç Muratpaşa Antalya</v>
          </cell>
          <cell r="D182" t="str">
            <v>Güzeloba mah.2239 sokak No:10A/A 10A/B</v>
          </cell>
          <cell r="E182" t="str">
            <v>MURATPAŞA</v>
          </cell>
          <cell r="F182">
            <v>45322</v>
          </cell>
          <cell r="G182" t="str">
            <v>EMRAH AKINCI</v>
          </cell>
          <cell r="H182" t="str">
            <v>ALİ AKÇAY</v>
          </cell>
        </row>
        <row r="183">
          <cell r="C183" t="str">
            <v>Pınar Caddesi Muratpaşa Antalya</v>
          </cell>
          <cell r="D183" t="str">
            <v>Bayındır Mah.Pınar cad.Avcı Apt. No:12/A 12/B Muratpaşa/Antalya</v>
          </cell>
          <cell r="E183" t="str">
            <v>MURATPAŞA</v>
          </cell>
          <cell r="F183">
            <v>45322</v>
          </cell>
          <cell r="G183" t="str">
            <v>ÜMİT KIRBAŞ</v>
          </cell>
          <cell r="H183" t="str">
            <v>ALİ AKÇAY</v>
          </cell>
        </row>
        <row r="184">
          <cell r="C184" t="str">
            <v>Şerife Tufan Kepez Antalya</v>
          </cell>
          <cell r="D184" t="str">
            <v>Mehmet Akif Ersoy mah. 6758 sokak No:10/B</v>
          </cell>
          <cell r="E184" t="str">
            <v>KEPEZ</v>
          </cell>
          <cell r="F184">
            <v>45322</v>
          </cell>
          <cell r="G184" t="str">
            <v>SALİH SERKAN ERÇİN</v>
          </cell>
          <cell r="H184" t="str">
            <v>VELİ GÖK</v>
          </cell>
        </row>
        <row r="185">
          <cell r="C185" t="str">
            <v>Acil Kepez Antalya</v>
          </cell>
          <cell r="D185" t="str">
            <v>Hüsnü Karakaş mah.3509 sokak.7A/1 A1 BLOK Kepez/Antalya</v>
          </cell>
          <cell r="E185" t="str">
            <v>KEPEZ</v>
          </cell>
          <cell r="F185">
            <v>45348</v>
          </cell>
          <cell r="G185" t="str">
            <v>SALİH SERKAN ERÇİN</v>
          </cell>
          <cell r="H185" t="str">
            <v>VELİ GÖK</v>
          </cell>
        </row>
        <row r="186">
          <cell r="C186" t="str">
            <v>Yener Ulusoy Muratpaşa Antalya</v>
          </cell>
          <cell r="D186" t="str">
            <v>Kızılsaray Mah. 88 Sokak M. Salih Neşşer Apt. Altı NO:8 A  Muratpaşa Antalya (1339315424)</v>
          </cell>
          <cell r="E186" t="str">
            <v>MURATPAŞA</v>
          </cell>
          <cell r="F186">
            <v>43097</v>
          </cell>
          <cell r="G186" t="str">
            <v>MEHMET KÜÇÜKOĞLU</v>
          </cell>
          <cell r="H186" t="str">
            <v>GİZEM TOSUN</v>
          </cell>
        </row>
        <row r="187">
          <cell r="C187" t="str">
            <v>Yalı Muratpaşa Antalya</v>
          </cell>
          <cell r="D187" t="str">
            <v>Çağlayan mah.Fener caddesi Seyhan Apt.No:74/A Muratpaşa/Antalya</v>
          </cell>
          <cell r="E187" t="str">
            <v>MURATPAŞA</v>
          </cell>
          <cell r="F187">
            <v>45351</v>
          </cell>
          <cell r="G187" t="str">
            <v>ERDAL ARSLAN</v>
          </cell>
          <cell r="H187" t="str">
            <v>ŞADAN YURDAKUL</v>
          </cell>
        </row>
        <row r="188">
          <cell r="C188" t="str">
            <v>Ekpa Kepez Antalya</v>
          </cell>
          <cell r="D188" t="str">
            <v>Güneş mah. Şehit Astsubay Ömer Halis Demir Cad. A2 Blok No:95</v>
          </cell>
          <cell r="E188" t="str">
            <v>KEPEZ</v>
          </cell>
          <cell r="F188">
            <v>45381</v>
          </cell>
          <cell r="G188" t="str">
            <v>KERİM YÜREKLİ</v>
          </cell>
          <cell r="H188" t="str">
            <v>VELİ GÖK</v>
          </cell>
        </row>
        <row r="189">
          <cell r="C189" t="str">
            <v>Serden Geçti Kepez Antalya</v>
          </cell>
          <cell r="D189" t="str">
            <v>Teomanpaşa Mh, Osman Yüksel Serden Geçti Cad, No:10 3.N.B.B.</v>
          </cell>
          <cell r="E189" t="str">
            <v>KEPEZ</v>
          </cell>
          <cell r="F189">
            <v>45436</v>
          </cell>
          <cell r="G189" t="str">
            <v>KERİM YÜREKLİ</v>
          </cell>
          <cell r="H189" t="str">
            <v>VELİ GÖK</v>
          </cell>
        </row>
        <row r="190">
          <cell r="C190" t="str">
            <v>15 Katlılar Kepez Antalya</v>
          </cell>
          <cell r="D190" t="str">
            <v>Mehmet Akif Ersoy mh. 15 Temmuz Şehitler cd. No:83/AA 13.N.B.B. - 83/AB 14.N.B.B. - 83/AC 15. N.B.B.  Kepez/Antalya</v>
          </cell>
          <cell r="E190" t="str">
            <v>KEPEZ</v>
          </cell>
          <cell r="F190">
            <v>45443</v>
          </cell>
          <cell r="G190" t="str">
            <v>SALİH SERKAN ERÇİN</v>
          </cell>
          <cell r="H190" t="str">
            <v>VELİ GÖK</v>
          </cell>
        </row>
        <row r="191">
          <cell r="C191" t="str">
            <v>Selçuklu Kepez Antalya</v>
          </cell>
          <cell r="D191" t="str">
            <v>Habipler Mah, 5569 sk, No:11A / 11B,  5.-6. N.B.B.</v>
          </cell>
          <cell r="E191" t="str">
            <v>KEPEZ</v>
          </cell>
          <cell r="F191">
            <v>45458</v>
          </cell>
          <cell r="G191" t="str">
            <v>SELİM GÜNDÜZ</v>
          </cell>
          <cell r="H191" t="str">
            <v>ŞADAN YURDAKUL</v>
          </cell>
        </row>
        <row r="192">
          <cell r="C192" t="str">
            <v>Kapalı Yol Muratpaşa/Antalya</v>
          </cell>
          <cell r="D192" t="str">
            <v>Üçgen Mahallesi, Şarampol Caddesii, İbrahim Kortenli Apart. No:133A Muratpaşa/Antalya</v>
          </cell>
          <cell r="E192" t="str">
            <v>MURATPAŞA</v>
          </cell>
          <cell r="F192">
            <v>45502</v>
          </cell>
          <cell r="G192" t="str">
            <v>ÜMİT KIRBAŞ</v>
          </cell>
          <cell r="H192" t="str">
            <v>ALİ AKÇAY</v>
          </cell>
        </row>
        <row r="193">
          <cell r="C193" t="str">
            <v>Yeni Üç Kapılar Muratpaşa Antalya</v>
          </cell>
          <cell r="D193" t="str">
            <v>Sinan Mah. Arık Cad. Oğuzcan Aprt. No:41/21-22 Muratpaşa/Antalya</v>
          </cell>
          <cell r="E193" t="str">
            <v>MURATPAŞA</v>
          </cell>
          <cell r="F193">
            <v>45741</v>
          </cell>
          <cell r="G193" t="str">
            <v>MEHMET KÜÇÜKOĞLU</v>
          </cell>
          <cell r="H193" t="str">
            <v>GİZEM TOSUN</v>
          </cell>
        </row>
        <row r="194">
          <cell r="C194" t="str">
            <v>Işık Caddesi Kepez/Antalya</v>
          </cell>
          <cell r="D194" t="str">
            <v>Karşıyaka Mahellesi, 3931 Sokak, Keleş Apartmanı, No:27A/B Kepez Antalya</v>
          </cell>
          <cell r="E194" t="str">
            <v>KEPEZ</v>
          </cell>
          <cell r="F194">
            <v>45528</v>
          </cell>
          <cell r="G194" t="str">
            <v>MUHAMMED BAŞARAN</v>
          </cell>
          <cell r="H194" t="str">
            <v>GİZEM TOSUN</v>
          </cell>
        </row>
        <row r="195">
          <cell r="C195" t="str">
            <v>Kahve Çekirdeği Kepez Antalya</v>
          </cell>
          <cell r="D195" t="str">
            <v>Karşıyaka Mah Yıldırım Beyazıt Cad. No:48/A  Kepez / Antalya (1771900170)</v>
          </cell>
          <cell r="E195" t="str">
            <v>KEPEZ</v>
          </cell>
          <cell r="F195">
            <v>44915</v>
          </cell>
          <cell r="G195" t="str">
            <v>MUHAMMED BAŞARAN</v>
          </cell>
          <cell r="H195" t="str">
            <v>GİZEM TOSUN</v>
          </cell>
        </row>
        <row r="196">
          <cell r="C196" t="str">
            <v>Yahya Kemal Kepez/Antalya</v>
          </cell>
          <cell r="D196" t="str">
            <v>Ulus Mahallesi, Mehmet Akif Caddesi, İbrişim Apart. No: 52/1-2 Kepez Antalya</v>
          </cell>
          <cell r="E196" t="str">
            <v>KEPEZ</v>
          </cell>
          <cell r="F196">
            <v>45565</v>
          </cell>
          <cell r="G196" t="str">
            <v>FİKRET HOCA</v>
          </cell>
          <cell r="H196" t="str">
            <v>ALİ AKÇAY</v>
          </cell>
        </row>
        <row r="197">
          <cell r="C197" t="str">
            <v>Esentepe Kepez Antalya</v>
          </cell>
          <cell r="D197" t="str">
            <v>Esentepe Mh. Şahinbey Caddesi No : 1-2 Kepez / Antalya</v>
          </cell>
          <cell r="E197" t="str">
            <v>KEPEZ</v>
          </cell>
          <cell r="F197">
            <v>45656</v>
          </cell>
          <cell r="G197" t="str">
            <v>SELİM GÜNDÜZ</v>
          </cell>
          <cell r="H197" t="str">
            <v>ŞADAN YURDAKUL</v>
          </cell>
        </row>
        <row r="198">
          <cell r="C198" t="str">
            <v>Yeni Niğdeli Parkı Kepez/Antalya</v>
          </cell>
          <cell r="D198" t="str">
            <v>Mehmet Akif Ersoy Mh, Sütçüler Cd. No:22 Kepez Antalya</v>
          </cell>
          <cell r="E198" t="str">
            <v>KEPEZ</v>
          </cell>
          <cell r="F198">
            <v>45673</v>
          </cell>
          <cell r="G198" t="str">
            <v>TUĞBA ALDI</v>
          </cell>
          <cell r="H198" t="str">
            <v>VELİ GÖK</v>
          </cell>
        </row>
        <row r="199">
          <cell r="C199" t="str">
            <v>Karayusuf Kepez Antalya</v>
          </cell>
          <cell r="D199" t="str">
            <v>Karşıyaka Mh. Karayusuf Cd. No:11 Kepez ANTALYA</v>
          </cell>
          <cell r="E199" t="str">
            <v>KEPEZ</v>
          </cell>
          <cell r="F199">
            <v>41482</v>
          </cell>
          <cell r="G199" t="str">
            <v>MUHAMMED BAŞARAN</v>
          </cell>
          <cell r="H199" t="str">
            <v>GİZEM TOSUN</v>
          </cell>
        </row>
        <row r="200">
          <cell r="C200" t="str">
            <v>Karşıyaka Kepez Antalya</v>
          </cell>
          <cell r="D200" t="str">
            <v>Karşıyaka Mh. 3934 Sk. No:61/10-11  Kepez ANTALYA</v>
          </cell>
          <cell r="E200" t="str">
            <v>KEPEZ</v>
          </cell>
          <cell r="F200">
            <v>40688</v>
          </cell>
          <cell r="G200" t="str">
            <v>MUHAMMED BAŞARAN</v>
          </cell>
          <cell r="H200" t="str">
            <v>GİZEM TOSUN</v>
          </cell>
        </row>
        <row r="201">
          <cell r="C201" t="str">
            <v>Neşet Ertaş Muratpaşa Antalya</v>
          </cell>
          <cell r="D201" t="str">
            <v>Güzeloba mahallesi, Havaalanı Cad. No:71 A/D Muratpaşa/Antalya</v>
          </cell>
          <cell r="E201" t="str">
            <v>MURATPAŞA</v>
          </cell>
          <cell r="F201">
            <v>45764</v>
          </cell>
          <cell r="G201" t="str">
            <v>TUĞÇE KOCABAŞ</v>
          </cell>
          <cell r="H201" t="str">
            <v>VELİ GÖK</v>
          </cell>
        </row>
        <row r="202">
          <cell r="C202" t="str">
            <v>Ören Şehir Camii Kepez Antalya</v>
          </cell>
          <cell r="D202" t="str">
            <v>Karşıyaka Mh. Karayusuf Cd. Yanık Apt. No: 45 A/B Kepez ANTALYA</v>
          </cell>
          <cell r="E202" t="str">
            <v>KEPEZ</v>
          </cell>
          <cell r="F202">
            <v>43186</v>
          </cell>
          <cell r="G202" t="str">
            <v>MUHAMMED BAŞARAN</v>
          </cell>
          <cell r="H202" t="str">
            <v>GİZEM TOSUN</v>
          </cell>
        </row>
        <row r="203">
          <cell r="C203" t="str">
            <v>Yaka Kepez Antalya</v>
          </cell>
          <cell r="D203" t="str">
            <v>Karşıyaka Mh. 3927 Sk. No:22 A Kepez Antalya</v>
          </cell>
          <cell r="E203" t="str">
            <v>KEPEZ</v>
          </cell>
          <cell r="F203">
            <v>43675</v>
          </cell>
          <cell r="G203" t="str">
            <v>MUHAMMED BAŞARAN</v>
          </cell>
          <cell r="H203" t="str">
            <v>GİZEM TOSUN</v>
          </cell>
        </row>
        <row r="204">
          <cell r="C204" t="str">
            <v>Yükseliş Mh Kepez Antalya</v>
          </cell>
          <cell r="D204" t="str">
            <v>Yükseliş Mh. 2128 Sk No: 5A-5B-5C Kepez ANTALYA</v>
          </cell>
          <cell r="E204" t="str">
            <v>KEPEZ</v>
          </cell>
          <cell r="F204">
            <v>42551</v>
          </cell>
          <cell r="G204" t="str">
            <v>MUHAMMED BAŞARAN</v>
          </cell>
          <cell r="H204" t="str">
            <v>GİZEM TOSUN</v>
          </cell>
        </row>
        <row r="205">
          <cell r="C205" t="str">
            <v>Ahmet Yesevi</v>
          </cell>
          <cell r="D205" t="str">
            <v>Cumhuriyet Mah. 643 sok. no:18 Muratpaşa/Antalya</v>
          </cell>
          <cell r="E205" t="str">
            <v>MURATPAŞA</v>
          </cell>
          <cell r="F205">
            <v>45953</v>
          </cell>
          <cell r="G205" t="str">
            <v>NESLİHAN ÖZYURT</v>
          </cell>
          <cell r="H205" t="str">
            <v>ALİ AKÇAY</v>
          </cell>
        </row>
        <row r="206">
          <cell r="C206" t="str">
            <v>Ulubatlı Kepez</v>
          </cell>
          <cell r="D206" t="str">
            <v>Ayanoğlu mahallesi 1825 sokak no:3/B Kepez/Antalya</v>
          </cell>
          <cell r="E206" t="str">
            <v>KEPEZ</v>
          </cell>
          <cell r="F206">
            <v>45979</v>
          </cell>
          <cell r="G206" t="str">
            <v>YUNUS BAYSAL</v>
          </cell>
          <cell r="H206" t="str">
            <v>ŞADAN YURDAKUL</v>
          </cell>
        </row>
        <row r="207">
          <cell r="C207" t="str">
            <v>Zübeyde Hanım KEPEZ/ Antalya</v>
          </cell>
          <cell r="D207" t="str">
            <v>Zafer Mah.2628 sok.No:1/3 Kömürcü Apt Kepez/Antalya</v>
          </cell>
          <cell r="E207" t="str">
            <v>KEPEZ</v>
          </cell>
          <cell r="F207">
            <v>45918</v>
          </cell>
          <cell r="G207" t="str">
            <v>MUHAMMED BAŞARAN</v>
          </cell>
          <cell r="H207" t="str">
            <v>GİZEM TOSUN</v>
          </cell>
        </row>
        <row r="209">
          <cell r="C209" t="str">
            <v>ANTALYA MERKEZ</v>
          </cell>
        </row>
        <row r="210">
          <cell r="C210" t="str">
            <v>Kepez: 81</v>
          </cell>
        </row>
        <row r="211">
          <cell r="C211" t="str">
            <v>Muratpaşa:124</v>
          </cell>
        </row>
        <row r="212">
          <cell r="C212" t="str">
            <v>Toplam:205</v>
          </cell>
        </row>
        <row r="216">
          <cell r="C216" t="str">
            <v>Havalimanı Muratpaşa Antalya</v>
          </cell>
          <cell r="D216" t="str">
            <v>Güzeloba Mah. Havaalanı Cad. 2272 Sok. Ülker Apt. Sit. (TAPU B.B. NO:3(TALİ KAPI)Apt.No:2A Muratpaşa/Antalya</v>
          </cell>
          <cell r="E216" t="str">
            <v>MURATPAŞA</v>
          </cell>
          <cell r="F216">
            <v>43984</v>
          </cell>
          <cell r="G216" t="str">
            <v>EMRAH AKINCI</v>
          </cell>
          <cell r="H216" t="str">
            <v>ALİ AKÇAY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3"/>
  <sheetViews>
    <sheetView tabSelected="1" zoomScale="75" zoomScaleNormal="75" workbookViewId="0">
      <pane ySplit="1" topLeftCell="A2" activePane="bottomLeft" state="frozen"/>
      <selection pane="bottomLeft" activeCell="R205" sqref="A1:R205"/>
    </sheetView>
  </sheetViews>
  <sheetFormatPr defaultColWidth="17.44140625" defaultRowHeight="14.4" x14ac:dyDescent="0.3"/>
  <cols>
    <col min="1" max="1" width="15.77734375" style="1" bestFit="1" customWidth="1"/>
    <col min="2" max="2" width="19.109375" style="1" bestFit="1" customWidth="1"/>
    <col min="3" max="3" width="31.77734375" style="1" bestFit="1" customWidth="1"/>
    <col min="4" max="4" width="15" style="1" bestFit="1" customWidth="1"/>
    <col min="5" max="20" width="14.5546875" style="2" bestFit="1" customWidth="1"/>
    <col min="21" max="21" width="14" style="2" bestFit="1" customWidth="1"/>
    <col min="22" max="1024" width="17.44140625" style="1"/>
    <col min="1025" max="16384" width="17.44140625" style="5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6" t="str">
        <f>VLOOKUP(C2,'[1]MURATPAŞA BÖLGE'!$C:$H,6,0)</f>
        <v>ALİ AKÇAY</v>
      </c>
      <c r="B2" s="6" t="str">
        <f>VLOOKUP(C2,'[1]MURATPAŞA BÖLGE'!$C:$G,5,0)</f>
        <v>EMRAH AKINCI</v>
      </c>
      <c r="C2" s="6" t="s">
        <v>82</v>
      </c>
      <c r="D2" s="7">
        <f t="shared" ref="D2:D65" si="0">SUBTOTAL(9,E2:U2)</f>
        <v>16</v>
      </c>
      <c r="E2" s="8">
        <v>3</v>
      </c>
      <c r="F2" s="8">
        <v>1</v>
      </c>
      <c r="G2" s="8">
        <v>1</v>
      </c>
      <c r="H2" s="8">
        <v>1</v>
      </c>
      <c r="I2" s="8">
        <v>3</v>
      </c>
      <c r="J2" s="8">
        <v>0</v>
      </c>
      <c r="K2" s="8">
        <v>1</v>
      </c>
      <c r="L2" s="8">
        <v>1</v>
      </c>
      <c r="M2" s="8">
        <v>1</v>
      </c>
      <c r="N2" s="8">
        <v>1</v>
      </c>
      <c r="O2" s="8">
        <v>0</v>
      </c>
      <c r="P2" s="8">
        <v>0</v>
      </c>
      <c r="Q2" s="8">
        <v>1</v>
      </c>
      <c r="R2" s="8">
        <v>0</v>
      </c>
      <c r="S2" s="8">
        <v>1</v>
      </c>
      <c r="T2" s="8">
        <v>0</v>
      </c>
      <c r="U2" s="8">
        <v>1</v>
      </c>
    </row>
    <row r="3" spans="1:21" x14ac:dyDescent="0.3">
      <c r="A3" s="6" t="str">
        <f>VLOOKUP(C3,'[1]MURATPAŞA BÖLGE'!$C:$H,6,0)</f>
        <v>ALİ AKÇAY</v>
      </c>
      <c r="B3" s="6" t="str">
        <f>VLOOKUP(C3,'[1]MURATPAŞA BÖLGE'!$C:$G,5,0)</f>
        <v>EMRAH AKINCI</v>
      </c>
      <c r="C3" s="6" t="s">
        <v>81</v>
      </c>
      <c r="D3" s="7">
        <f t="shared" si="0"/>
        <v>15</v>
      </c>
      <c r="E3" s="8">
        <v>1</v>
      </c>
      <c r="F3" s="8">
        <v>2</v>
      </c>
      <c r="G3" s="8">
        <v>0</v>
      </c>
      <c r="H3" s="8">
        <v>1</v>
      </c>
      <c r="I3" s="8">
        <v>3</v>
      </c>
      <c r="J3" s="8">
        <v>1</v>
      </c>
      <c r="K3" s="8">
        <v>1</v>
      </c>
      <c r="L3" s="8">
        <v>0</v>
      </c>
      <c r="M3" s="8">
        <v>2</v>
      </c>
      <c r="N3" s="8">
        <v>1</v>
      </c>
      <c r="O3" s="8">
        <v>1</v>
      </c>
      <c r="P3" s="8">
        <v>0</v>
      </c>
      <c r="Q3" s="8">
        <v>1</v>
      </c>
      <c r="R3" s="8">
        <v>0</v>
      </c>
      <c r="S3" s="8">
        <v>1</v>
      </c>
      <c r="T3" s="8">
        <v>0</v>
      </c>
      <c r="U3" s="8">
        <v>0</v>
      </c>
    </row>
    <row r="4" spans="1:21" x14ac:dyDescent="0.3">
      <c r="A4" s="6" t="str">
        <f>VLOOKUP(C4,'[1]MURATPAŞA BÖLGE'!$C:$H,6,0)</f>
        <v>ALİ AKÇAY</v>
      </c>
      <c r="B4" s="6" t="str">
        <f>VLOOKUP(C4,'[1]MURATPAŞA BÖLGE'!$C:$G,5,0)</f>
        <v>EMRAH AKINCI</v>
      </c>
      <c r="C4" s="11" t="s">
        <v>77</v>
      </c>
      <c r="D4" s="7">
        <f t="shared" si="0"/>
        <v>13</v>
      </c>
      <c r="E4" s="8">
        <v>1</v>
      </c>
      <c r="F4" s="8">
        <v>2</v>
      </c>
      <c r="G4" s="8">
        <v>1</v>
      </c>
      <c r="H4" s="8">
        <v>1</v>
      </c>
      <c r="I4" s="8">
        <v>3</v>
      </c>
      <c r="J4" s="8">
        <v>0</v>
      </c>
      <c r="K4" s="8">
        <v>0</v>
      </c>
      <c r="L4" s="8">
        <v>0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1</v>
      </c>
      <c r="T4" s="8">
        <v>0</v>
      </c>
      <c r="U4" s="8">
        <v>1</v>
      </c>
    </row>
    <row r="5" spans="1:21" x14ac:dyDescent="0.3">
      <c r="A5" s="6" t="s">
        <v>25</v>
      </c>
      <c r="B5" s="6" t="s">
        <v>51</v>
      </c>
      <c r="C5" s="6" t="s">
        <v>74</v>
      </c>
      <c r="D5" s="7">
        <f t="shared" si="0"/>
        <v>12</v>
      </c>
      <c r="E5" s="8">
        <v>1</v>
      </c>
      <c r="F5" s="8">
        <v>1</v>
      </c>
      <c r="G5" s="8">
        <v>1</v>
      </c>
      <c r="H5" s="8">
        <v>1</v>
      </c>
      <c r="I5" s="8">
        <v>3</v>
      </c>
      <c r="J5" s="8">
        <v>0</v>
      </c>
      <c r="K5" s="8">
        <v>1</v>
      </c>
      <c r="L5" s="8">
        <v>0</v>
      </c>
      <c r="M5" s="8">
        <v>1</v>
      </c>
      <c r="N5" s="8">
        <v>1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8">
        <v>0</v>
      </c>
      <c r="U5" s="8">
        <v>1</v>
      </c>
    </row>
    <row r="6" spans="1:21" x14ac:dyDescent="0.3">
      <c r="A6" s="6" t="s">
        <v>25</v>
      </c>
      <c r="B6" s="6" t="s">
        <v>51</v>
      </c>
      <c r="C6" s="6" t="s">
        <v>60</v>
      </c>
      <c r="D6" s="7">
        <f t="shared" si="0"/>
        <v>9</v>
      </c>
      <c r="E6" s="8">
        <v>1</v>
      </c>
      <c r="F6" s="8">
        <v>1</v>
      </c>
      <c r="G6" s="8">
        <v>1</v>
      </c>
      <c r="H6" s="8">
        <v>1</v>
      </c>
      <c r="I6" s="8">
        <v>2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8">
        <v>0</v>
      </c>
      <c r="Q6" s="8">
        <v>1</v>
      </c>
      <c r="R6" s="8">
        <v>0</v>
      </c>
      <c r="S6" s="8">
        <v>1</v>
      </c>
      <c r="T6" s="8">
        <v>0</v>
      </c>
      <c r="U6" s="8">
        <v>0</v>
      </c>
    </row>
    <row r="7" spans="1:21" x14ac:dyDescent="0.3">
      <c r="A7" s="6" t="s">
        <v>25</v>
      </c>
      <c r="B7" s="6" t="s">
        <v>51</v>
      </c>
      <c r="C7" s="6" t="s">
        <v>52</v>
      </c>
      <c r="D7" s="7">
        <f t="shared" si="0"/>
        <v>6</v>
      </c>
      <c r="E7" s="8">
        <v>1</v>
      </c>
      <c r="F7" s="8">
        <v>0</v>
      </c>
      <c r="G7" s="8">
        <v>0</v>
      </c>
      <c r="H7" s="8">
        <v>0</v>
      </c>
      <c r="I7" s="8">
        <v>2</v>
      </c>
      <c r="J7" s="8">
        <v>0</v>
      </c>
      <c r="K7" s="8">
        <v>0</v>
      </c>
      <c r="L7" s="8">
        <v>0</v>
      </c>
      <c r="M7" s="8">
        <v>1</v>
      </c>
      <c r="N7" s="8">
        <v>1</v>
      </c>
      <c r="O7" s="8">
        <v>0</v>
      </c>
      <c r="P7" s="8">
        <v>0</v>
      </c>
      <c r="Q7" s="8">
        <v>0</v>
      </c>
      <c r="R7" s="8">
        <v>0</v>
      </c>
      <c r="S7" s="8">
        <v>1</v>
      </c>
      <c r="T7" s="8">
        <v>0</v>
      </c>
      <c r="U7" s="8">
        <v>0</v>
      </c>
    </row>
    <row r="8" spans="1:21" x14ac:dyDescent="0.3">
      <c r="A8" s="6" t="str">
        <f>VLOOKUP(C8,'[1]MURATPAŞA BÖLGE'!$C:$H,6,0)</f>
        <v>ALİ AKÇAY</v>
      </c>
      <c r="B8" s="6" t="str">
        <f>VLOOKUP(C8,'[1]MURATPAŞA BÖLGE'!$C:$G,5,0)</f>
        <v>FİKRET HOCA</v>
      </c>
      <c r="C8" s="6" t="s">
        <v>83</v>
      </c>
      <c r="D8" s="7">
        <f t="shared" si="0"/>
        <v>17</v>
      </c>
      <c r="E8" s="8">
        <v>1</v>
      </c>
      <c r="F8" s="8">
        <v>1</v>
      </c>
      <c r="G8" s="8">
        <v>2</v>
      </c>
      <c r="H8" s="8">
        <v>1</v>
      </c>
      <c r="I8" s="8">
        <v>3</v>
      </c>
      <c r="J8" s="8">
        <v>1</v>
      </c>
      <c r="K8" s="8">
        <v>1</v>
      </c>
      <c r="L8" s="8">
        <v>1</v>
      </c>
      <c r="M8" s="8">
        <v>2</v>
      </c>
      <c r="N8" s="8">
        <v>1</v>
      </c>
      <c r="O8" s="8">
        <v>1</v>
      </c>
      <c r="P8" s="8">
        <v>0</v>
      </c>
      <c r="Q8" s="8">
        <v>1</v>
      </c>
      <c r="R8" s="8">
        <v>0</v>
      </c>
      <c r="S8" s="8">
        <v>1</v>
      </c>
      <c r="T8" s="8">
        <v>0</v>
      </c>
      <c r="U8" s="8">
        <v>0</v>
      </c>
    </row>
    <row r="9" spans="1:21" x14ac:dyDescent="0.3">
      <c r="A9" s="6" t="s">
        <v>25</v>
      </c>
      <c r="B9" s="6" t="s">
        <v>65</v>
      </c>
      <c r="C9" s="6" t="s">
        <v>66</v>
      </c>
      <c r="D9" s="7">
        <f t="shared" si="0"/>
        <v>10</v>
      </c>
      <c r="E9" s="8">
        <v>0</v>
      </c>
      <c r="F9" s="8">
        <v>1</v>
      </c>
      <c r="G9" s="8">
        <v>0</v>
      </c>
      <c r="H9" s="8">
        <v>1</v>
      </c>
      <c r="I9" s="8">
        <v>3</v>
      </c>
      <c r="J9" s="8">
        <v>0</v>
      </c>
      <c r="K9" s="8">
        <v>0</v>
      </c>
      <c r="L9" s="8">
        <v>0</v>
      </c>
      <c r="M9" s="8">
        <v>0</v>
      </c>
      <c r="N9" s="8">
        <v>2</v>
      </c>
      <c r="O9" s="8">
        <v>1</v>
      </c>
      <c r="P9" s="8">
        <v>0</v>
      </c>
      <c r="Q9" s="8">
        <v>0</v>
      </c>
      <c r="R9" s="8">
        <v>0</v>
      </c>
      <c r="S9" s="8">
        <v>1</v>
      </c>
      <c r="T9" s="8">
        <v>0</v>
      </c>
      <c r="U9" s="8">
        <v>1</v>
      </c>
    </row>
    <row r="10" spans="1:21" x14ac:dyDescent="0.3">
      <c r="A10" s="6" t="str">
        <f>VLOOKUP(C10,'[1]MURATPAŞA BÖLGE'!$C:$H,6,0)</f>
        <v>ALİ AKÇAY</v>
      </c>
      <c r="B10" s="6" t="str">
        <f>VLOOKUP(C10,'[1]MURATPAŞA BÖLGE'!$C:$G,5,0)</f>
        <v>FİKRET HOCA</v>
      </c>
      <c r="C10" s="6" t="s">
        <v>67</v>
      </c>
      <c r="D10" s="7">
        <f t="shared" si="0"/>
        <v>10</v>
      </c>
      <c r="E10" s="8">
        <v>1</v>
      </c>
      <c r="F10" s="8">
        <v>1</v>
      </c>
      <c r="G10" s="8">
        <v>1</v>
      </c>
      <c r="H10" s="8">
        <v>1</v>
      </c>
      <c r="I10" s="8">
        <v>3</v>
      </c>
      <c r="J10" s="8">
        <v>0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0</v>
      </c>
      <c r="U10" s="8">
        <v>0</v>
      </c>
    </row>
    <row r="11" spans="1:21" x14ac:dyDescent="0.3">
      <c r="A11" s="6" t="str">
        <f>VLOOKUP(C11,'[1]MURATPAŞA BÖLGE'!$C:$H,6,0)</f>
        <v>ALİ AKÇAY</v>
      </c>
      <c r="B11" s="6" t="str">
        <f>VLOOKUP(C11,'[1]MURATPAŞA BÖLGE'!$C:$G,5,0)</f>
        <v>FİKRET HOCA</v>
      </c>
      <c r="C11" s="6" t="s">
        <v>63</v>
      </c>
      <c r="D11" s="7">
        <f t="shared" si="0"/>
        <v>9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1</v>
      </c>
      <c r="N11" s="8">
        <v>1</v>
      </c>
      <c r="O11" s="8">
        <v>1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</row>
    <row r="12" spans="1:21" x14ac:dyDescent="0.3">
      <c r="A12" s="6" t="str">
        <f>VLOOKUP(C12,'[1]MURATPAŞA BÖLGE'!$C:$H,6,0)</f>
        <v>ALİ AKÇAY</v>
      </c>
      <c r="B12" s="6" t="str">
        <f>VLOOKUP(C12,'[1]MURATPAŞA BÖLGE'!$C:$G,5,0)</f>
        <v>FİKRET HOCA</v>
      </c>
      <c r="C12" s="6" t="s">
        <v>49</v>
      </c>
      <c r="D12" s="7">
        <f t="shared" si="0"/>
        <v>5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  <c r="U12" s="8">
        <v>0</v>
      </c>
    </row>
    <row r="13" spans="1:21" x14ac:dyDescent="0.3">
      <c r="A13" s="6" t="str">
        <f>VLOOKUP(C13,'[1]MURATPAŞA BÖLGE'!$C:$H,6,0)</f>
        <v>ALİ AKÇAY</v>
      </c>
      <c r="B13" s="6" t="str">
        <f>VLOOKUP(C13,'[1]MURATPAŞA BÖLGE'!$C:$G,5,0)</f>
        <v>FİKRET HOCA</v>
      </c>
      <c r="C13" s="11" t="s">
        <v>36</v>
      </c>
      <c r="D13" s="7">
        <f t="shared" si="0"/>
        <v>3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1</v>
      </c>
      <c r="T13" s="8">
        <v>0</v>
      </c>
      <c r="U13" s="8">
        <v>0</v>
      </c>
    </row>
    <row r="14" spans="1:21" x14ac:dyDescent="0.3">
      <c r="A14" s="6" t="str">
        <f>VLOOKUP(C14,'[1]MURATPAŞA BÖLGE'!$C:$H,6,0)</f>
        <v>ALİ AKÇAY</v>
      </c>
      <c r="B14" s="6" t="str">
        <f>VLOOKUP(C14,'[1]MURATPAŞA BÖLGE'!$C:$G,5,0)</f>
        <v>FİKRET HOCA</v>
      </c>
      <c r="C14" s="6" t="s">
        <v>37</v>
      </c>
      <c r="D14" s="7">
        <f t="shared" si="0"/>
        <v>3</v>
      </c>
      <c r="E14" s="8">
        <v>0</v>
      </c>
      <c r="F14" s="8">
        <v>1</v>
      </c>
      <c r="G14" s="8">
        <v>0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</row>
    <row r="15" spans="1:21" x14ac:dyDescent="0.3">
      <c r="A15" s="6" t="str">
        <f>VLOOKUP(C15,'[1]MURATPAŞA BÖLGE'!$C:$H,6,0)</f>
        <v>ALİ AKÇAY</v>
      </c>
      <c r="B15" s="6" t="str">
        <f>VLOOKUP(C15,'[1]MURATPAŞA BÖLGE'!$C:$G,5,0)</f>
        <v>FİKRET HOCA</v>
      </c>
      <c r="C15" s="6" t="s">
        <v>33</v>
      </c>
      <c r="D15" s="7">
        <f t="shared" si="0"/>
        <v>2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</row>
    <row r="16" spans="1:21" x14ac:dyDescent="0.3">
      <c r="A16" s="6" t="str">
        <f>VLOOKUP(C16,'[1]MURATPAŞA BÖLGE'!$C:$H,6,0)</f>
        <v>ALİ AKÇAY</v>
      </c>
      <c r="B16" s="6" t="str">
        <f>VLOOKUP(C16,'[1]MURATPAŞA BÖLGE'!$C:$G,5,0)</f>
        <v>İBRAHİM DURBALİ</v>
      </c>
      <c r="C16" s="6" t="s">
        <v>84</v>
      </c>
      <c r="D16" s="7">
        <f t="shared" si="0"/>
        <v>19</v>
      </c>
      <c r="E16" s="8">
        <v>2</v>
      </c>
      <c r="F16" s="8">
        <v>1</v>
      </c>
      <c r="G16" s="8">
        <v>3</v>
      </c>
      <c r="H16" s="8">
        <v>1</v>
      </c>
      <c r="I16" s="8">
        <v>4</v>
      </c>
      <c r="J16" s="8">
        <v>0</v>
      </c>
      <c r="K16" s="8">
        <v>0</v>
      </c>
      <c r="L16" s="8">
        <v>1</v>
      </c>
      <c r="M16" s="8">
        <v>2</v>
      </c>
      <c r="N16" s="8">
        <v>1</v>
      </c>
      <c r="O16" s="8">
        <v>1</v>
      </c>
      <c r="P16" s="8">
        <v>1</v>
      </c>
      <c r="Q16" s="8">
        <v>0</v>
      </c>
      <c r="R16" s="8">
        <v>0</v>
      </c>
      <c r="S16" s="8">
        <v>1</v>
      </c>
      <c r="T16" s="8">
        <v>0</v>
      </c>
      <c r="U16" s="8">
        <v>1</v>
      </c>
    </row>
    <row r="17" spans="1:21" x14ac:dyDescent="0.3">
      <c r="A17" s="6" t="str">
        <f>VLOOKUP(C17,'[1]MURATPAŞA BÖLGE'!$C:$H,6,0)</f>
        <v>ALİ AKÇAY</v>
      </c>
      <c r="B17" s="6" t="str">
        <f>VLOOKUP(C17,'[1]MURATPAŞA BÖLGE'!$C:$G,5,0)</f>
        <v>İBRAHİM DURBALİ</v>
      </c>
      <c r="C17" s="6" t="s">
        <v>44</v>
      </c>
      <c r="D17" s="7">
        <f t="shared" si="0"/>
        <v>4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  <c r="M17" s="8">
        <v>1</v>
      </c>
      <c r="N17" s="8">
        <v>0</v>
      </c>
      <c r="O17" s="8">
        <v>0</v>
      </c>
      <c r="P17" s="8">
        <v>1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</row>
    <row r="18" spans="1:21" x14ac:dyDescent="0.3">
      <c r="A18" s="6" t="s">
        <v>25</v>
      </c>
      <c r="B18" s="6" t="s">
        <v>26</v>
      </c>
      <c r="C18" s="6" t="s">
        <v>45</v>
      </c>
      <c r="D18" s="7">
        <f t="shared" si="0"/>
        <v>4</v>
      </c>
      <c r="E18" s="8">
        <v>1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0</v>
      </c>
      <c r="M18" s="8">
        <v>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8">
        <v>0</v>
      </c>
      <c r="U18" s="8">
        <v>0</v>
      </c>
    </row>
    <row r="19" spans="1:21" x14ac:dyDescent="0.3">
      <c r="A19" s="6" t="str">
        <f>VLOOKUP(C19,'[1]MURATPAŞA BÖLGE'!$C:$H,6,0)</f>
        <v>ALİ AKÇAY</v>
      </c>
      <c r="B19" s="6" t="str">
        <f>VLOOKUP(C19,'[1]MURATPAŞA BÖLGE'!$C:$G,5,0)</f>
        <v>İBRAHİM DURBALİ</v>
      </c>
      <c r="C19" s="6" t="s">
        <v>38</v>
      </c>
      <c r="D19" s="7">
        <f t="shared" si="0"/>
        <v>3</v>
      </c>
      <c r="E19" s="8">
        <v>0</v>
      </c>
      <c r="F19" s="8">
        <v>1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8">
        <v>0</v>
      </c>
    </row>
    <row r="20" spans="1:21" x14ac:dyDescent="0.3">
      <c r="A20" s="6" t="s">
        <v>25</v>
      </c>
      <c r="B20" s="6" t="s">
        <v>26</v>
      </c>
      <c r="C20" s="6" t="s">
        <v>27</v>
      </c>
      <c r="D20" s="7">
        <f t="shared" si="0"/>
        <v>2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3">
      <c r="A21" s="6" t="str">
        <f>VLOOKUP(C21,'[1]MURATPAŞA BÖLGE'!$C:$H,6,0)</f>
        <v>ALİ AKÇAY</v>
      </c>
      <c r="B21" s="6" t="str">
        <f>VLOOKUP(C21,'[1]MURATPAŞA BÖLGE'!$C:$G,5,0)</f>
        <v>İBRAHİM DURBALİ</v>
      </c>
      <c r="C21" s="6" t="s">
        <v>21</v>
      </c>
      <c r="D21" s="7">
        <f t="shared" si="0"/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  <c r="U21" s="8">
        <v>0</v>
      </c>
    </row>
    <row r="22" spans="1:21" x14ac:dyDescent="0.3">
      <c r="A22" s="6" t="str">
        <f>VLOOKUP(C22,'[1]MURATPAŞA BÖLGE'!$C:$H,6,0)</f>
        <v>ALİ AKÇAY</v>
      </c>
      <c r="B22" s="6" t="str">
        <f>VLOOKUP(C22,'[1]MURATPAŞA BÖLGE'!$C:$G,5,0)</f>
        <v>İBRAHİM DURBALİ</v>
      </c>
      <c r="C22" s="6" t="s">
        <v>22</v>
      </c>
      <c r="D22" s="7">
        <f t="shared" si="0"/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</v>
      </c>
      <c r="T22" s="8">
        <v>0</v>
      </c>
      <c r="U22" s="8">
        <v>0</v>
      </c>
    </row>
    <row r="23" spans="1:21" x14ac:dyDescent="0.3">
      <c r="A23" s="6" t="str">
        <f>VLOOKUP(C23,'[1]MURATPAŞA BÖLGE'!$C:$H,6,0)</f>
        <v>ALİ AKÇAY</v>
      </c>
      <c r="B23" s="6" t="str">
        <f>VLOOKUP(C23,'[1]MURATPAŞA BÖLGE'!$C:$G,5,0)</f>
        <v>İBRAHİM DURBALİ</v>
      </c>
      <c r="C23" s="6" t="s">
        <v>23</v>
      </c>
      <c r="D23" s="7">
        <f t="shared" si="0"/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</row>
    <row r="24" spans="1:21" x14ac:dyDescent="0.3">
      <c r="A24" s="6" t="str">
        <f>VLOOKUP(C24,'[1]MURATPAŞA BÖLGE'!$C:$H,6,0)</f>
        <v>ALİ AKÇAY</v>
      </c>
      <c r="B24" s="6" t="str">
        <f>VLOOKUP(C24,'[1]MURATPAŞA BÖLGE'!$C:$G,5,0)</f>
        <v>İBRAHİM DURBALİ</v>
      </c>
      <c r="C24" s="6" t="s">
        <v>24</v>
      </c>
      <c r="D24" s="7">
        <f t="shared" si="0"/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</row>
    <row r="25" spans="1:21" x14ac:dyDescent="0.3">
      <c r="A25" s="6" t="s">
        <v>25</v>
      </c>
      <c r="B25" s="6" t="s">
        <v>257</v>
      </c>
      <c r="C25" s="6" t="s">
        <v>256</v>
      </c>
      <c r="D25" s="7">
        <f t="shared" si="0"/>
        <v>12</v>
      </c>
      <c r="E25" s="8">
        <v>1</v>
      </c>
      <c r="F25" s="8">
        <v>1</v>
      </c>
      <c r="G25" s="8">
        <v>1</v>
      </c>
      <c r="H25" s="8">
        <v>1</v>
      </c>
      <c r="I25" s="8">
        <v>4</v>
      </c>
      <c r="J25" s="8">
        <v>1</v>
      </c>
      <c r="K25" s="8">
        <v>0</v>
      </c>
      <c r="L25" s="8">
        <v>1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</row>
    <row r="26" spans="1:21" x14ac:dyDescent="0.3">
      <c r="A26" s="6" t="str">
        <f>VLOOKUP(C26,'[2]MURATPAŞA BÖLGE'!$C:$H,6,0)</f>
        <v>ALİ AKÇAY</v>
      </c>
      <c r="B26" s="6" t="str">
        <f>VLOOKUP(C26,'[2]MURATPAŞA BÖLGE'!$C:$G,5,0)</f>
        <v>KILIÇASLAN İYİCAN</v>
      </c>
      <c r="C26" s="6" t="s">
        <v>75</v>
      </c>
      <c r="D26" s="7">
        <f t="shared" si="0"/>
        <v>12</v>
      </c>
      <c r="E26" s="8">
        <v>1</v>
      </c>
      <c r="F26" s="8">
        <v>1</v>
      </c>
      <c r="G26" s="8">
        <v>1</v>
      </c>
      <c r="H26" s="8">
        <v>1</v>
      </c>
      <c r="I26" s="8">
        <v>2</v>
      </c>
      <c r="J26" s="8">
        <v>1</v>
      </c>
      <c r="K26" s="8">
        <v>1</v>
      </c>
      <c r="L26" s="8">
        <v>0</v>
      </c>
      <c r="M26" s="8">
        <v>0</v>
      </c>
      <c r="N26" s="8">
        <v>1</v>
      </c>
      <c r="O26" s="8">
        <v>1</v>
      </c>
      <c r="P26" s="8">
        <v>1</v>
      </c>
      <c r="Q26" s="8">
        <v>0</v>
      </c>
      <c r="R26" s="8">
        <v>0</v>
      </c>
      <c r="S26" s="8">
        <v>1</v>
      </c>
      <c r="T26" s="8">
        <v>0</v>
      </c>
      <c r="U26" s="8">
        <v>0</v>
      </c>
    </row>
    <row r="27" spans="1:21" x14ac:dyDescent="0.3">
      <c r="A27" s="6" t="str">
        <f>VLOOKUP(C27,'[2]MURATPAŞA BÖLGE'!$C:$H,6,0)</f>
        <v>ALİ AKÇAY</v>
      </c>
      <c r="B27" s="6" t="str">
        <f>VLOOKUP(C27,'[2]MURATPAŞA BÖLGE'!$C:$G,5,0)</f>
        <v>KILIÇASLAN İYİCAN</v>
      </c>
      <c r="C27" s="6" t="s">
        <v>68</v>
      </c>
      <c r="D27" s="7">
        <f t="shared" si="0"/>
        <v>10</v>
      </c>
      <c r="E27" s="8">
        <v>1</v>
      </c>
      <c r="F27" s="8">
        <v>1</v>
      </c>
      <c r="G27" s="8">
        <v>1</v>
      </c>
      <c r="H27" s="8">
        <v>1</v>
      </c>
      <c r="I27" s="8">
        <v>2</v>
      </c>
      <c r="J27" s="8">
        <v>1</v>
      </c>
      <c r="K27" s="8">
        <v>0</v>
      </c>
      <c r="L27" s="8">
        <v>0</v>
      </c>
      <c r="M27" s="8">
        <v>1</v>
      </c>
      <c r="N27" s="8">
        <v>1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0</v>
      </c>
    </row>
    <row r="28" spans="1:21" x14ac:dyDescent="0.3">
      <c r="A28" s="6" t="str">
        <f>VLOOKUP(C28,'[2]MURATPAŞA BÖLGE'!$C:$H,6,0)</f>
        <v>ALİ AKÇAY</v>
      </c>
      <c r="B28" s="6" t="str">
        <f>VLOOKUP(C28,'[2]MURATPAŞA BÖLGE'!$C:$G,5,0)</f>
        <v>KILIÇASLAN İYİCAN</v>
      </c>
      <c r="C28" s="6" t="s">
        <v>61</v>
      </c>
      <c r="D28" s="7">
        <f t="shared" si="0"/>
        <v>8</v>
      </c>
      <c r="E28" s="8">
        <v>0</v>
      </c>
      <c r="F28" s="8">
        <v>1</v>
      </c>
      <c r="G28" s="8">
        <v>0</v>
      </c>
      <c r="H28" s="8">
        <v>1</v>
      </c>
      <c r="I28" s="8">
        <v>2</v>
      </c>
      <c r="J28" s="8">
        <v>0</v>
      </c>
      <c r="K28" s="8">
        <v>0</v>
      </c>
      <c r="L28" s="8">
        <v>0</v>
      </c>
      <c r="M28" s="8">
        <v>1</v>
      </c>
      <c r="N28" s="8">
        <v>1</v>
      </c>
      <c r="O28" s="8">
        <v>0</v>
      </c>
      <c r="P28" s="8">
        <v>0</v>
      </c>
      <c r="Q28" s="8">
        <v>0</v>
      </c>
      <c r="R28" s="8">
        <v>0</v>
      </c>
      <c r="S28" s="8">
        <v>1</v>
      </c>
      <c r="T28" s="8">
        <v>1</v>
      </c>
      <c r="U28" s="8">
        <v>0</v>
      </c>
    </row>
    <row r="29" spans="1:21" x14ac:dyDescent="0.3">
      <c r="A29" s="6" t="str">
        <f>VLOOKUP(C29,'[2]MURATPAŞA BÖLGE'!$C:$H,6,0)</f>
        <v>ALİ AKÇAY</v>
      </c>
      <c r="B29" s="6" t="str">
        <f>VLOOKUP(C29,'[2]MURATPAŞA BÖLGE'!$C:$G,5,0)</f>
        <v>KILIÇASLAN İYİCAN</v>
      </c>
      <c r="C29" s="6" t="s">
        <v>46</v>
      </c>
      <c r="D29" s="7">
        <f t="shared" si="0"/>
        <v>4</v>
      </c>
      <c r="E29" s="8">
        <v>1</v>
      </c>
      <c r="F29" s="8">
        <v>1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0</v>
      </c>
      <c r="U29" s="8">
        <v>0</v>
      </c>
    </row>
    <row r="30" spans="1:21" x14ac:dyDescent="0.3">
      <c r="A30" s="6" t="str">
        <f>VLOOKUP(C30,'[2]MURATPAŞA BÖLGE'!$C:$H,6,0)</f>
        <v>ALİ AKÇAY</v>
      </c>
      <c r="B30" s="6" t="str">
        <f>VLOOKUP(C30,'[2]MURATPAŞA BÖLGE'!$C:$G,5,0)</f>
        <v>KILIÇASLAN İYİCAN</v>
      </c>
      <c r="C30" s="6" t="s">
        <v>47</v>
      </c>
      <c r="D30" s="7">
        <f t="shared" si="0"/>
        <v>4</v>
      </c>
      <c r="E30" s="8">
        <v>0</v>
      </c>
      <c r="F30" s="8">
        <v>0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</row>
    <row r="31" spans="1:21" x14ac:dyDescent="0.3">
      <c r="A31" s="6" t="str">
        <f>VLOOKUP(C31,'[2]MURATPAŞA BÖLGE'!$C:$H,6,0)</f>
        <v>ALİ AKÇAY</v>
      </c>
      <c r="B31" s="6" t="str">
        <f>VLOOKUP(C31,'[2]MURATPAŞA BÖLGE'!$C:$G,5,0)</f>
        <v>KILIÇASLAN İYİCAN</v>
      </c>
      <c r="C31" s="6" t="s">
        <v>39</v>
      </c>
      <c r="D31" s="7">
        <f t="shared" si="0"/>
        <v>3</v>
      </c>
      <c r="E31" s="8">
        <v>0</v>
      </c>
      <c r="F31" s="8">
        <v>1</v>
      </c>
      <c r="G31" s="8">
        <v>0</v>
      </c>
      <c r="H31" s="8">
        <v>0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</row>
    <row r="32" spans="1:21" x14ac:dyDescent="0.3">
      <c r="A32" s="6" t="str">
        <f>VLOOKUP(C32,'[2]MURATPAŞA BÖLGE'!$C:$H,6,0)</f>
        <v>ALİ AKÇAY</v>
      </c>
      <c r="B32" s="6" t="str">
        <f>VLOOKUP(C32,'[2]MURATPAŞA BÖLGE'!$C:$G,5,0)</f>
        <v>KILIÇASLAN İYİCAN</v>
      </c>
      <c r="C32" s="6" t="s">
        <v>40</v>
      </c>
      <c r="D32" s="7">
        <f t="shared" si="0"/>
        <v>3</v>
      </c>
      <c r="E32" s="8">
        <v>0</v>
      </c>
      <c r="F32" s="8">
        <v>1</v>
      </c>
      <c r="G32" s="8">
        <v>0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</row>
    <row r="33" spans="1:21" x14ac:dyDescent="0.3">
      <c r="A33" s="6" t="str">
        <f>VLOOKUP(C33,'[2]MURATPAŞA BÖLGE'!$C:$H,6,0)</f>
        <v>ALİ AKÇAY</v>
      </c>
      <c r="B33" s="6" t="str">
        <f>VLOOKUP(C33,'[2]MURATPAŞA BÖLGE'!$C:$G,5,0)</f>
        <v>KILIÇASLAN İYİCAN</v>
      </c>
      <c r="C33" s="6" t="s">
        <v>34</v>
      </c>
      <c r="D33" s="7">
        <f t="shared" si="0"/>
        <v>2</v>
      </c>
      <c r="E33" s="8">
        <v>0</v>
      </c>
      <c r="F33" s="8">
        <v>0</v>
      </c>
      <c r="G33" s="8">
        <v>0</v>
      </c>
      <c r="H33" s="8">
        <v>0</v>
      </c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</v>
      </c>
      <c r="T33" s="8">
        <v>0</v>
      </c>
      <c r="U33" s="8">
        <v>0</v>
      </c>
    </row>
    <row r="34" spans="1:21" x14ac:dyDescent="0.3">
      <c r="A34" s="6" t="s">
        <v>25</v>
      </c>
      <c r="B34" s="6" t="s">
        <v>78</v>
      </c>
      <c r="C34" s="6" t="s">
        <v>79</v>
      </c>
      <c r="D34" s="7">
        <f t="shared" si="0"/>
        <v>14</v>
      </c>
      <c r="E34" s="8">
        <v>1</v>
      </c>
      <c r="F34" s="8">
        <v>1</v>
      </c>
      <c r="G34" s="8">
        <v>1</v>
      </c>
      <c r="H34" s="8">
        <v>1</v>
      </c>
      <c r="I34" s="8">
        <v>2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0</v>
      </c>
      <c r="P34" s="8">
        <v>0</v>
      </c>
      <c r="Q34" s="8">
        <v>1</v>
      </c>
      <c r="R34" s="8">
        <v>0</v>
      </c>
      <c r="S34" s="8">
        <v>1</v>
      </c>
      <c r="T34" s="8">
        <v>0</v>
      </c>
      <c r="U34" s="8">
        <v>1</v>
      </c>
    </row>
    <row r="35" spans="1:21" x14ac:dyDescent="0.3">
      <c r="A35" s="6" t="str">
        <f>VLOOKUP(C35,'[3]MURATPAŞA BÖLGE'!$C:$H,6,0)</f>
        <v>ALİ AKÇAY</v>
      </c>
      <c r="B35" s="6" t="str">
        <f>VLOOKUP(C35,'[3]MURATPAŞA BÖLGE'!$C:$G,5,0)</f>
        <v>NESLİHAN ÖZYURT</v>
      </c>
      <c r="C35" s="6" t="s">
        <v>76</v>
      </c>
      <c r="D35" s="7">
        <f t="shared" si="0"/>
        <v>12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0</v>
      </c>
      <c r="K35" s="8">
        <v>0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0</v>
      </c>
      <c r="R35" s="8">
        <v>0</v>
      </c>
      <c r="S35" s="8">
        <v>1</v>
      </c>
      <c r="T35" s="8">
        <v>0</v>
      </c>
      <c r="U35" s="8">
        <v>1</v>
      </c>
    </row>
    <row r="36" spans="1:21" x14ac:dyDescent="0.3">
      <c r="A36" s="6" t="str">
        <f>VLOOKUP(C36,'[3]MURATPAŞA BÖLGE'!$C:$H,6,0)</f>
        <v>ALİ AKÇAY</v>
      </c>
      <c r="B36" s="6" t="str">
        <f>VLOOKUP(C36,'[3]MURATPAŞA BÖLGE'!$C:$G,5,0)</f>
        <v>NESLİHAN ÖZYURT</v>
      </c>
      <c r="C36" s="6" t="s">
        <v>73</v>
      </c>
      <c r="D36" s="7">
        <f t="shared" si="0"/>
        <v>11</v>
      </c>
      <c r="E36" s="8">
        <v>0</v>
      </c>
      <c r="F36" s="8">
        <v>0</v>
      </c>
      <c r="G36" s="8">
        <v>1</v>
      </c>
      <c r="H36" s="8">
        <v>1</v>
      </c>
      <c r="I36" s="8">
        <v>2</v>
      </c>
      <c r="J36" s="8">
        <v>1</v>
      </c>
      <c r="K36" s="8">
        <v>1</v>
      </c>
      <c r="L36" s="8">
        <v>0</v>
      </c>
      <c r="M36" s="8">
        <v>2</v>
      </c>
      <c r="N36" s="8">
        <v>1</v>
      </c>
      <c r="O36" s="8">
        <v>0</v>
      </c>
      <c r="P36" s="8">
        <v>0</v>
      </c>
      <c r="Q36" s="8">
        <v>1</v>
      </c>
      <c r="R36" s="8">
        <v>0</v>
      </c>
      <c r="S36" s="8">
        <v>1</v>
      </c>
      <c r="T36" s="8">
        <v>0</v>
      </c>
      <c r="U36" s="8">
        <v>0</v>
      </c>
    </row>
    <row r="37" spans="1:21" x14ac:dyDescent="0.3">
      <c r="A37" s="6" t="str">
        <f>VLOOKUP(C37,'[3]MURATPAŞA BÖLGE'!$C:$H,6,0)</f>
        <v>ALİ AKÇAY</v>
      </c>
      <c r="B37" s="6" t="str">
        <f>VLOOKUP(C37,'[3]MURATPAŞA BÖLGE'!$C:$G,5,0)</f>
        <v>NESLİHAN ÖZYURT</v>
      </c>
      <c r="C37" s="6" t="s">
        <v>69</v>
      </c>
      <c r="D37" s="7">
        <f t="shared" si="0"/>
        <v>10</v>
      </c>
      <c r="E37" s="8">
        <v>1</v>
      </c>
      <c r="F37" s="8">
        <v>0</v>
      </c>
      <c r="G37" s="8">
        <v>1</v>
      </c>
      <c r="H37" s="8">
        <v>1</v>
      </c>
      <c r="I37" s="8">
        <v>2</v>
      </c>
      <c r="J37" s="8">
        <v>0</v>
      </c>
      <c r="K37" s="8">
        <v>0</v>
      </c>
      <c r="L37" s="8">
        <v>0</v>
      </c>
      <c r="M37" s="8">
        <v>2</v>
      </c>
      <c r="N37" s="8">
        <v>1</v>
      </c>
      <c r="O37" s="8">
        <v>1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</row>
    <row r="38" spans="1:21" x14ac:dyDescent="0.3">
      <c r="A38" s="6" t="str">
        <f>VLOOKUP(C38,'[3]MURATPAŞA BÖLGE'!$C:$H,6,0)</f>
        <v>ALİ AKÇAY</v>
      </c>
      <c r="B38" s="6" t="str">
        <f>VLOOKUP(C38,'[3]MURATPAŞA BÖLGE'!$C:$G,5,0)</f>
        <v>NESLİHAN ÖZYURT</v>
      </c>
      <c r="C38" s="6" t="s">
        <v>70</v>
      </c>
      <c r="D38" s="7">
        <f t="shared" si="0"/>
        <v>10</v>
      </c>
      <c r="E38" s="8">
        <v>1</v>
      </c>
      <c r="F38" s="8">
        <v>0</v>
      </c>
      <c r="G38" s="8">
        <v>1</v>
      </c>
      <c r="H38" s="8">
        <v>1</v>
      </c>
      <c r="I38" s="8">
        <v>1</v>
      </c>
      <c r="J38" s="8">
        <v>0</v>
      </c>
      <c r="K38" s="8">
        <v>0</v>
      </c>
      <c r="L38" s="8">
        <v>1</v>
      </c>
      <c r="M38" s="8">
        <v>0</v>
      </c>
      <c r="N38" s="8">
        <v>1</v>
      </c>
      <c r="O38" s="8">
        <v>1</v>
      </c>
      <c r="P38" s="8">
        <v>1</v>
      </c>
      <c r="Q38" s="8">
        <v>1</v>
      </c>
      <c r="R38" s="8">
        <v>0</v>
      </c>
      <c r="S38" s="8">
        <v>1</v>
      </c>
      <c r="T38" s="8">
        <v>0</v>
      </c>
      <c r="U38" s="8">
        <v>0</v>
      </c>
    </row>
    <row r="39" spans="1:21" x14ac:dyDescent="0.3">
      <c r="A39" s="6" t="str">
        <f>VLOOKUP(C39,'[3]MURATPAŞA BÖLGE'!$C:$H,6,0)</f>
        <v>ALİ AKÇAY</v>
      </c>
      <c r="B39" s="6" t="str">
        <f>VLOOKUP(C39,'[3]MURATPAŞA BÖLGE'!$C:$G,5,0)</f>
        <v>NESLİHAN ÖZYURT</v>
      </c>
      <c r="C39" s="6" t="s">
        <v>53</v>
      </c>
      <c r="D39" s="7">
        <f t="shared" si="0"/>
        <v>6</v>
      </c>
      <c r="E39" s="8">
        <v>0</v>
      </c>
      <c r="F39" s="8">
        <v>0</v>
      </c>
      <c r="G39" s="8">
        <v>1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8">
        <v>1</v>
      </c>
      <c r="O39" s="8">
        <v>0</v>
      </c>
      <c r="P39" s="8">
        <v>1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</row>
    <row r="40" spans="1:21" x14ac:dyDescent="0.3">
      <c r="A40" s="6" t="str">
        <f>VLOOKUP(C40,'[3]MURATPAŞA BÖLGE'!$C:$H,6,0)</f>
        <v>ALİ AKÇAY</v>
      </c>
      <c r="B40" s="6" t="str">
        <f>VLOOKUP(C40,'[3]MURATPAŞA BÖLGE'!$C:$G,5,0)</f>
        <v>NESLİHAN ÖZYURT</v>
      </c>
      <c r="C40" s="6" t="s">
        <v>41</v>
      </c>
      <c r="D40" s="7">
        <f t="shared" si="0"/>
        <v>3</v>
      </c>
      <c r="E40" s="8">
        <v>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1</v>
      </c>
    </row>
    <row r="41" spans="1:21" x14ac:dyDescent="0.3">
      <c r="A41" s="6" t="str">
        <f>VLOOKUP(C41,'[3]MURATPAŞA BÖLGE'!$C:$H,6,0)</f>
        <v>ALİ AKÇAY</v>
      </c>
      <c r="B41" s="6" t="str">
        <f>VLOOKUP(C41,'[3]MURATPAŞA BÖLGE'!$C:$G,5,0)</f>
        <v>NESLİHAN ÖZYURT</v>
      </c>
      <c r="C41" s="6" t="s">
        <v>28</v>
      </c>
      <c r="D41" s="7">
        <f t="shared" si="0"/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0</v>
      </c>
    </row>
    <row r="42" spans="1:21" x14ac:dyDescent="0.3">
      <c r="A42" s="6" t="str">
        <f>VLOOKUP(C42,'[1]MURATPAŞA BÖLGE'!$C:$H,6,0)</f>
        <v>ALİ AKÇAY</v>
      </c>
      <c r="B42" s="6" t="str">
        <f>VLOOKUP(C42,'[1]MURATPAŞA BÖLGE'!$C:$G,5,0)</f>
        <v>ÖZKAN DEMİR</v>
      </c>
      <c r="C42" s="6" t="s">
        <v>80</v>
      </c>
      <c r="D42" s="7">
        <f t="shared" si="0"/>
        <v>15</v>
      </c>
      <c r="E42" s="8">
        <v>1</v>
      </c>
      <c r="F42" s="8">
        <v>1</v>
      </c>
      <c r="G42" s="8">
        <v>2</v>
      </c>
      <c r="H42" s="8">
        <v>1</v>
      </c>
      <c r="I42" s="8">
        <v>2</v>
      </c>
      <c r="J42" s="8">
        <v>1</v>
      </c>
      <c r="K42" s="8">
        <v>1</v>
      </c>
      <c r="L42" s="8">
        <v>1</v>
      </c>
      <c r="M42" s="8">
        <v>1</v>
      </c>
      <c r="N42" s="8">
        <v>1</v>
      </c>
      <c r="O42" s="8">
        <v>0</v>
      </c>
      <c r="P42" s="8">
        <v>1</v>
      </c>
      <c r="Q42" s="8">
        <v>1</v>
      </c>
      <c r="R42" s="8">
        <v>0</v>
      </c>
      <c r="S42" s="8">
        <v>1</v>
      </c>
      <c r="T42" s="8">
        <v>0</v>
      </c>
      <c r="U42" s="8">
        <v>0</v>
      </c>
    </row>
    <row r="43" spans="1:21" x14ac:dyDescent="0.3">
      <c r="A43" s="6" t="str">
        <f>VLOOKUP(C43,'[1]MURATPAŞA BÖLGE'!$C:$H,6,0)</f>
        <v>ALİ AKÇAY</v>
      </c>
      <c r="B43" s="6" t="str">
        <f>VLOOKUP(C43,'[1]MURATPAŞA BÖLGE'!$C:$G,5,0)</f>
        <v>ÖZKAN DEMİR</v>
      </c>
      <c r="C43" s="6" t="s">
        <v>71</v>
      </c>
      <c r="D43" s="7">
        <f t="shared" si="0"/>
        <v>10</v>
      </c>
      <c r="E43" s="8">
        <v>0</v>
      </c>
      <c r="F43" s="8">
        <v>1</v>
      </c>
      <c r="G43" s="8">
        <v>2</v>
      </c>
      <c r="H43" s="8">
        <v>1</v>
      </c>
      <c r="I43" s="8">
        <v>2</v>
      </c>
      <c r="J43" s="8">
        <v>1</v>
      </c>
      <c r="K43" s="8">
        <v>0</v>
      </c>
      <c r="L43" s="8">
        <v>0</v>
      </c>
      <c r="M43" s="8">
        <v>1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</row>
    <row r="44" spans="1:21" x14ac:dyDescent="0.3">
      <c r="A44" s="6" t="str">
        <f>VLOOKUP(C44,'[1]MURATPAŞA BÖLGE'!$C:$H,6,0)</f>
        <v>ALİ AKÇAY</v>
      </c>
      <c r="B44" s="6" t="str">
        <f>VLOOKUP(C44,'[1]MURATPAŞA BÖLGE'!$C:$G,5,0)</f>
        <v>ÖZKAN DEMİR</v>
      </c>
      <c r="C44" s="6" t="s">
        <v>64</v>
      </c>
      <c r="D44" s="7">
        <f t="shared" si="0"/>
        <v>9</v>
      </c>
      <c r="E44" s="8">
        <v>0</v>
      </c>
      <c r="F44" s="8">
        <v>1</v>
      </c>
      <c r="G44" s="8">
        <v>0</v>
      </c>
      <c r="H44" s="8">
        <v>0</v>
      </c>
      <c r="I44" s="8">
        <v>2</v>
      </c>
      <c r="J44" s="8">
        <v>1</v>
      </c>
      <c r="K44" s="8">
        <v>1</v>
      </c>
      <c r="L44" s="8">
        <v>0</v>
      </c>
      <c r="M44" s="8">
        <v>2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</row>
    <row r="45" spans="1:21" x14ac:dyDescent="0.3">
      <c r="A45" s="6" t="str">
        <f>VLOOKUP(C45,'[1]MURATPAŞA BÖLGE'!$C:$H,6,0)</f>
        <v>ALİ AKÇAY</v>
      </c>
      <c r="B45" s="6" t="str">
        <f>VLOOKUP(C45,'[1]MURATPAŞA BÖLGE'!$C:$G,5,0)</f>
        <v>ÖZKAN DEMİR</v>
      </c>
      <c r="C45" s="6" t="s">
        <v>62</v>
      </c>
      <c r="D45" s="7">
        <f t="shared" si="0"/>
        <v>8</v>
      </c>
      <c r="E45" s="8">
        <v>0</v>
      </c>
      <c r="F45" s="8">
        <v>0</v>
      </c>
      <c r="G45" s="8">
        <v>1</v>
      </c>
      <c r="H45" s="8">
        <v>0</v>
      </c>
      <c r="I45" s="8">
        <v>2</v>
      </c>
      <c r="J45" s="8">
        <v>1</v>
      </c>
      <c r="K45" s="8">
        <v>0</v>
      </c>
      <c r="L45" s="8">
        <v>0</v>
      </c>
      <c r="M45" s="8">
        <v>1</v>
      </c>
      <c r="N45" s="8">
        <v>1</v>
      </c>
      <c r="O45" s="8">
        <v>0</v>
      </c>
      <c r="P45" s="8">
        <v>0</v>
      </c>
      <c r="Q45" s="8">
        <v>1</v>
      </c>
      <c r="R45" s="8">
        <v>0</v>
      </c>
      <c r="S45" s="8">
        <v>1</v>
      </c>
      <c r="T45" s="8">
        <v>0</v>
      </c>
      <c r="U45" s="8">
        <v>0</v>
      </c>
    </row>
    <row r="46" spans="1:21" x14ac:dyDescent="0.3">
      <c r="A46" s="6" t="str">
        <f>VLOOKUP(C46,'[1]MURATPAŞA BÖLGE'!$C:$H,6,0)</f>
        <v>ALİ AKÇAY</v>
      </c>
      <c r="B46" s="6" t="str">
        <f>VLOOKUP(C46,'[1]MURATPAŞA BÖLGE'!$C:$G,5,0)</f>
        <v>ÖZKAN DEMİR</v>
      </c>
      <c r="C46" s="11" t="s">
        <v>55</v>
      </c>
      <c r="D46" s="7">
        <f t="shared" si="0"/>
        <v>7</v>
      </c>
      <c r="E46" s="8">
        <v>0</v>
      </c>
      <c r="F46" s="8">
        <v>1</v>
      </c>
      <c r="G46" s="8">
        <v>1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1</v>
      </c>
      <c r="N46" s="8">
        <v>1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</row>
    <row r="47" spans="1:21" x14ac:dyDescent="0.3">
      <c r="A47" s="6" t="str">
        <f>VLOOKUP(C47,'[1]MURATPAŞA BÖLGE'!$C:$H,6,0)</f>
        <v>ALİ AKÇAY</v>
      </c>
      <c r="B47" s="6" t="str">
        <f>VLOOKUP(C47,'[1]MURATPAŞA BÖLGE'!$C:$G,5,0)</f>
        <v>ÖZKAN DEMİR</v>
      </c>
      <c r="C47" s="6" t="s">
        <v>56</v>
      </c>
      <c r="D47" s="7">
        <f t="shared" si="0"/>
        <v>7</v>
      </c>
      <c r="E47" s="8">
        <v>0</v>
      </c>
      <c r="F47" s="8">
        <v>1</v>
      </c>
      <c r="G47" s="8">
        <v>1</v>
      </c>
      <c r="H47" s="8">
        <v>0</v>
      </c>
      <c r="I47" s="8">
        <v>2</v>
      </c>
      <c r="J47" s="8">
        <v>0</v>
      </c>
      <c r="K47" s="8">
        <v>0</v>
      </c>
      <c r="L47" s="8">
        <v>0</v>
      </c>
      <c r="M47" s="8">
        <v>1</v>
      </c>
      <c r="N47" s="8">
        <v>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</row>
    <row r="48" spans="1:21" x14ac:dyDescent="0.3">
      <c r="A48" s="6" t="s">
        <v>25</v>
      </c>
      <c r="B48" s="6" t="s">
        <v>57</v>
      </c>
      <c r="C48" s="12" t="s">
        <v>58</v>
      </c>
      <c r="D48" s="7">
        <f t="shared" si="0"/>
        <v>7</v>
      </c>
      <c r="E48" s="8">
        <v>0</v>
      </c>
      <c r="F48" s="8">
        <v>1</v>
      </c>
      <c r="G48" s="8">
        <v>1</v>
      </c>
      <c r="H48" s="8">
        <v>0</v>
      </c>
      <c r="I48" s="8">
        <v>2</v>
      </c>
      <c r="J48" s="8">
        <v>1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</row>
    <row r="49" spans="1:21" x14ac:dyDescent="0.3">
      <c r="A49" s="6" t="str">
        <f>VLOOKUP(C49,'[1]MURATPAŞA BÖLGE'!$C:$H,6,0)</f>
        <v>ALİ AKÇAY</v>
      </c>
      <c r="B49" s="6" t="str">
        <f>VLOOKUP(C49,'[1]MURATPAŞA BÖLGE'!$C:$G,5,0)</f>
        <v>ÖZKAN DEMİR</v>
      </c>
      <c r="C49" s="6" t="s">
        <v>29</v>
      </c>
      <c r="D49" s="7">
        <f t="shared" si="0"/>
        <v>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</row>
    <row r="50" spans="1:21" x14ac:dyDescent="0.3">
      <c r="A50" s="6" t="str">
        <f>VLOOKUP(C50,'[1]MURATPAŞA BÖLGE'!$C:$H,6,0)</f>
        <v>ALİ AKÇAY</v>
      </c>
      <c r="B50" s="6" t="str">
        <f>VLOOKUP(C50,'[1]MURATPAŞA BÖLGE'!$C:$G,5,0)</f>
        <v>ÖZKAN DEMİR</v>
      </c>
      <c r="C50" s="11" t="s">
        <v>30</v>
      </c>
      <c r="D50" s="7">
        <f t="shared" si="0"/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</row>
    <row r="51" spans="1:21" x14ac:dyDescent="0.3">
      <c r="A51" s="6" t="str">
        <f>VLOOKUP(C51,'[1]MURATPAŞA BÖLGE'!$C:$H,6,0)</f>
        <v>ALİ AKÇAY</v>
      </c>
      <c r="B51" s="6" t="str">
        <f>VLOOKUP(C51,'[1]MURATPAŞA BÖLGE'!$C:$G,5,0)</f>
        <v>ÜMİT KIRBAŞ</v>
      </c>
      <c r="C51" s="6" t="s">
        <v>72</v>
      </c>
      <c r="D51" s="7">
        <f t="shared" si="0"/>
        <v>10</v>
      </c>
      <c r="E51" s="8">
        <v>0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0</v>
      </c>
      <c r="L51" s="8">
        <v>0</v>
      </c>
      <c r="M51" s="8">
        <v>1</v>
      </c>
      <c r="N51" s="8">
        <v>1</v>
      </c>
      <c r="O51" s="8">
        <v>1</v>
      </c>
      <c r="P51" s="8">
        <v>0</v>
      </c>
      <c r="Q51" s="8">
        <v>1</v>
      </c>
      <c r="R51" s="8">
        <v>0</v>
      </c>
      <c r="S51" s="8">
        <v>1</v>
      </c>
      <c r="T51" s="8">
        <v>0</v>
      </c>
      <c r="U51" s="8">
        <v>0</v>
      </c>
    </row>
    <row r="52" spans="1:21" x14ac:dyDescent="0.3">
      <c r="A52" s="6" t="str">
        <f>VLOOKUP(C52,'[1]MURATPAŞA BÖLGE'!$C:$H,6,0)</f>
        <v>ALİ AKÇAY</v>
      </c>
      <c r="B52" s="6" t="str">
        <f>VLOOKUP(C52,'[1]MURATPAŞA BÖLGE'!$C:$G,5,0)</f>
        <v>ÜMİT KIRBAŞ</v>
      </c>
      <c r="C52" s="6" t="s">
        <v>50</v>
      </c>
      <c r="D52" s="7">
        <f t="shared" si="0"/>
        <v>7</v>
      </c>
      <c r="E52" s="8">
        <v>0</v>
      </c>
      <c r="F52" s="8">
        <v>0</v>
      </c>
      <c r="G52" s="8">
        <v>1</v>
      </c>
      <c r="H52" s="8">
        <v>0</v>
      </c>
      <c r="I52" s="8">
        <v>1</v>
      </c>
      <c r="J52" s="8">
        <v>0</v>
      </c>
      <c r="K52" s="8">
        <v>0</v>
      </c>
      <c r="L52" s="8">
        <v>1</v>
      </c>
      <c r="M52" s="8">
        <v>1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1</v>
      </c>
      <c r="U52" s="8">
        <v>0</v>
      </c>
    </row>
    <row r="53" spans="1:21" x14ac:dyDescent="0.3">
      <c r="A53" s="6" t="str">
        <f>VLOOKUP(C53,'[1]MURATPAŞA BÖLGE'!$C:$H,6,0)</f>
        <v>ALİ AKÇAY</v>
      </c>
      <c r="B53" s="6" t="str">
        <f>VLOOKUP(C53,'[1]MURATPAŞA BÖLGE'!$C:$G,5,0)</f>
        <v>ÜMİT KIRBAŞ</v>
      </c>
      <c r="C53" s="6" t="s">
        <v>54</v>
      </c>
      <c r="D53" s="7">
        <f t="shared" si="0"/>
        <v>7</v>
      </c>
      <c r="E53" s="8">
        <v>1</v>
      </c>
      <c r="F53" s="8">
        <v>0</v>
      </c>
      <c r="G53" s="8">
        <v>1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1</v>
      </c>
      <c r="P53" s="8">
        <v>0</v>
      </c>
      <c r="Q53" s="8">
        <v>1</v>
      </c>
      <c r="R53" s="8">
        <v>0</v>
      </c>
      <c r="S53" s="8">
        <v>1</v>
      </c>
      <c r="T53" s="8">
        <v>0</v>
      </c>
      <c r="U53" s="8">
        <v>0</v>
      </c>
    </row>
    <row r="54" spans="1:21" x14ac:dyDescent="0.3">
      <c r="A54" s="6" t="str">
        <f>VLOOKUP(C54,'[1]MURATPAŞA BÖLGE'!$C:$H,6,0)</f>
        <v>ALİ AKÇAY</v>
      </c>
      <c r="B54" s="6" t="str">
        <f>VLOOKUP(C54,'[1]MURATPAŞA BÖLGE'!$C:$G,5,0)</f>
        <v>ÜMİT KIRBAŞ</v>
      </c>
      <c r="C54" s="6" t="s">
        <v>59</v>
      </c>
      <c r="D54" s="7">
        <f t="shared" si="0"/>
        <v>7</v>
      </c>
      <c r="E54" s="8">
        <v>1</v>
      </c>
      <c r="F54" s="8">
        <v>0</v>
      </c>
      <c r="G54" s="8">
        <v>1</v>
      </c>
      <c r="H54" s="8">
        <v>1</v>
      </c>
      <c r="I54" s="8">
        <v>1</v>
      </c>
      <c r="J54" s="8">
        <v>0</v>
      </c>
      <c r="K54" s="8">
        <v>0</v>
      </c>
      <c r="L54" s="8">
        <v>0</v>
      </c>
      <c r="M54" s="8">
        <v>1</v>
      </c>
      <c r="N54" s="8">
        <v>1</v>
      </c>
      <c r="O54" s="8">
        <v>0</v>
      </c>
      <c r="P54" s="8">
        <v>0</v>
      </c>
      <c r="Q54" s="8">
        <v>0</v>
      </c>
      <c r="R54" s="8">
        <v>0</v>
      </c>
      <c r="S54" s="8">
        <v>1</v>
      </c>
      <c r="T54" s="8">
        <v>0</v>
      </c>
      <c r="U54" s="8">
        <v>0</v>
      </c>
    </row>
    <row r="55" spans="1:21" x14ac:dyDescent="0.3">
      <c r="A55" s="6" t="str">
        <f>VLOOKUP(C55,'[1]MURATPAŞA BÖLGE'!$C:$H,6,0)</f>
        <v>ALİ AKÇAY</v>
      </c>
      <c r="B55" s="6" t="str">
        <f>VLOOKUP(C55,'[1]MURATPAŞA BÖLGE'!$C:$G,5,0)</f>
        <v>ÜMİT KIRBAŞ</v>
      </c>
      <c r="C55" s="6" t="s">
        <v>48</v>
      </c>
      <c r="D55" s="7">
        <f t="shared" si="0"/>
        <v>6</v>
      </c>
      <c r="E55" s="8">
        <v>0</v>
      </c>
      <c r="F55" s="8">
        <v>1</v>
      </c>
      <c r="G55" s="8">
        <v>0</v>
      </c>
      <c r="H55" s="8">
        <v>1</v>
      </c>
      <c r="I55" s="8">
        <v>1</v>
      </c>
      <c r="J55" s="8">
        <v>1</v>
      </c>
      <c r="K55" s="8">
        <v>0</v>
      </c>
      <c r="L55" s="8">
        <v>0</v>
      </c>
      <c r="M55" s="8">
        <v>1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0</v>
      </c>
      <c r="U55" s="8">
        <v>0</v>
      </c>
    </row>
    <row r="56" spans="1:21" x14ac:dyDescent="0.3">
      <c r="A56" s="6" t="str">
        <f>VLOOKUP(C56,'[1]MURATPAŞA BÖLGE'!$C:$H,6,0)</f>
        <v>ALİ AKÇAY</v>
      </c>
      <c r="B56" s="6" t="str">
        <f>VLOOKUP(C56,'[1]MURATPAŞA BÖLGE'!$C:$G,5,0)</f>
        <v>ÜMİT KIRBAŞ</v>
      </c>
      <c r="C56" s="6" t="s">
        <v>35</v>
      </c>
      <c r="D56" s="7">
        <f t="shared" si="0"/>
        <v>3</v>
      </c>
      <c r="E56" s="8">
        <v>0</v>
      </c>
      <c r="F56" s="8">
        <v>0</v>
      </c>
      <c r="G56" s="8">
        <v>0</v>
      </c>
      <c r="H56" s="8">
        <v>1</v>
      </c>
      <c r="I56" s="8">
        <v>1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1</v>
      </c>
      <c r="T56" s="8">
        <v>0</v>
      </c>
      <c r="U56" s="8">
        <v>0</v>
      </c>
    </row>
    <row r="57" spans="1:21" x14ac:dyDescent="0.3">
      <c r="A57" s="6" t="s">
        <v>25</v>
      </c>
      <c r="B57" s="13" t="s">
        <v>42</v>
      </c>
      <c r="C57" s="6" t="s">
        <v>43</v>
      </c>
      <c r="D57" s="7">
        <f t="shared" si="0"/>
        <v>3</v>
      </c>
      <c r="E57" s="8">
        <v>0</v>
      </c>
      <c r="F57" s="8">
        <v>0</v>
      </c>
      <c r="G57" s="8">
        <v>1</v>
      </c>
      <c r="H57" s="8">
        <v>0</v>
      </c>
      <c r="I57" s="8">
        <v>1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</row>
    <row r="58" spans="1:21" x14ac:dyDescent="0.3">
      <c r="A58" s="6" t="str">
        <f>VLOOKUP(C58,'[1]MURATPAŞA BÖLGE'!$C:$H,6,0)</f>
        <v>ALİ AKÇAY</v>
      </c>
      <c r="B58" s="6" t="str">
        <f>VLOOKUP(C58,'[1]MURATPAŞA BÖLGE'!$C:$G,5,0)</f>
        <v>ÜMİT KIRBAŞ</v>
      </c>
      <c r="C58" s="6" t="s">
        <v>31</v>
      </c>
      <c r="D58" s="7">
        <f t="shared" si="0"/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</v>
      </c>
      <c r="T58" s="8">
        <v>0</v>
      </c>
      <c r="U58" s="8">
        <v>0</v>
      </c>
    </row>
    <row r="59" spans="1:21" x14ac:dyDescent="0.3">
      <c r="A59" s="6" t="str">
        <f>VLOOKUP(C59,'[1]MURATPAŞA BÖLGE'!$C:$H,6,0)</f>
        <v>ALİ AKÇAY</v>
      </c>
      <c r="B59" s="6" t="str">
        <f>VLOOKUP(C59,'[1]MURATPAŞA BÖLGE'!$C:$G,5,0)</f>
        <v>ÜMİT KIRBAŞ</v>
      </c>
      <c r="C59" s="6" t="s">
        <v>32</v>
      </c>
      <c r="D59" s="7">
        <f t="shared" si="0"/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  <c r="U59" s="8">
        <v>0</v>
      </c>
    </row>
    <row r="60" spans="1:21" x14ac:dyDescent="0.3">
      <c r="A60" s="6" t="s">
        <v>85</v>
      </c>
      <c r="B60" s="6" t="s">
        <v>86</v>
      </c>
      <c r="C60" s="6" t="s">
        <v>142</v>
      </c>
      <c r="D60" s="7">
        <f t="shared" si="0"/>
        <v>49</v>
      </c>
      <c r="E60" s="8">
        <v>7</v>
      </c>
      <c r="F60" s="8">
        <v>4</v>
      </c>
      <c r="G60" s="8">
        <v>2</v>
      </c>
      <c r="H60" s="8">
        <v>3</v>
      </c>
      <c r="I60" s="8">
        <v>6</v>
      </c>
      <c r="J60" s="8">
        <v>3</v>
      </c>
      <c r="K60" s="8">
        <v>0</v>
      </c>
      <c r="L60" s="8">
        <v>2</v>
      </c>
      <c r="M60" s="8">
        <v>5</v>
      </c>
      <c r="N60" s="8">
        <v>6</v>
      </c>
      <c r="O60" s="8">
        <v>6</v>
      </c>
      <c r="P60" s="8">
        <v>3</v>
      </c>
      <c r="Q60" s="8">
        <v>0</v>
      </c>
      <c r="R60" s="8">
        <v>0</v>
      </c>
      <c r="S60" s="8">
        <v>1</v>
      </c>
      <c r="T60" s="8">
        <v>0</v>
      </c>
      <c r="U60" s="8">
        <v>1</v>
      </c>
    </row>
    <row r="61" spans="1:21" x14ac:dyDescent="0.3">
      <c r="A61" s="6" t="s">
        <v>85</v>
      </c>
      <c r="B61" s="6" t="s">
        <v>86</v>
      </c>
      <c r="C61" s="6" t="s">
        <v>138</v>
      </c>
      <c r="D61" s="7">
        <f t="shared" si="0"/>
        <v>16</v>
      </c>
      <c r="E61" s="8">
        <v>3</v>
      </c>
      <c r="F61" s="8">
        <v>1</v>
      </c>
      <c r="G61" s="8">
        <v>2</v>
      </c>
      <c r="H61" s="8">
        <v>1</v>
      </c>
      <c r="I61" s="8">
        <v>3</v>
      </c>
      <c r="J61" s="8">
        <v>1</v>
      </c>
      <c r="K61" s="8">
        <v>0</v>
      </c>
      <c r="L61" s="8">
        <v>1</v>
      </c>
      <c r="M61" s="8">
        <v>2</v>
      </c>
      <c r="N61" s="8">
        <v>2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</row>
    <row r="62" spans="1:21" x14ac:dyDescent="0.3">
      <c r="A62" s="6" t="s">
        <v>85</v>
      </c>
      <c r="B62" s="6" t="s">
        <v>86</v>
      </c>
      <c r="C62" s="11" t="s">
        <v>128</v>
      </c>
      <c r="D62" s="7">
        <f t="shared" si="0"/>
        <v>13</v>
      </c>
      <c r="E62" s="8">
        <v>1</v>
      </c>
      <c r="F62" s="8">
        <v>1</v>
      </c>
      <c r="G62" s="8">
        <v>1</v>
      </c>
      <c r="H62" s="8">
        <v>1</v>
      </c>
      <c r="I62" s="8">
        <v>2</v>
      </c>
      <c r="J62" s="8">
        <v>1</v>
      </c>
      <c r="K62" s="8">
        <v>0</v>
      </c>
      <c r="L62" s="8">
        <v>1</v>
      </c>
      <c r="M62" s="8">
        <v>2</v>
      </c>
      <c r="N62" s="8">
        <v>1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</row>
    <row r="63" spans="1:21" x14ac:dyDescent="0.3">
      <c r="A63" s="6" t="s">
        <v>85</v>
      </c>
      <c r="B63" s="6" t="s">
        <v>86</v>
      </c>
      <c r="C63" s="6" t="s">
        <v>112</v>
      </c>
      <c r="D63" s="7">
        <f t="shared" si="0"/>
        <v>8</v>
      </c>
      <c r="E63" s="8">
        <v>2</v>
      </c>
      <c r="F63" s="8">
        <v>1</v>
      </c>
      <c r="G63" s="8">
        <v>1</v>
      </c>
      <c r="H63" s="8">
        <v>1</v>
      </c>
      <c r="I63" s="8">
        <v>1</v>
      </c>
      <c r="J63" s="8">
        <v>0</v>
      </c>
      <c r="K63" s="8">
        <v>0</v>
      </c>
      <c r="L63" s="8">
        <v>1</v>
      </c>
      <c r="M63" s="8">
        <v>1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</row>
    <row r="64" spans="1:21" x14ac:dyDescent="0.3">
      <c r="A64" s="6" t="s">
        <v>85</v>
      </c>
      <c r="B64" s="6" t="s">
        <v>86</v>
      </c>
      <c r="C64" s="6" t="s">
        <v>92</v>
      </c>
      <c r="D64" s="7">
        <f t="shared" si="0"/>
        <v>2</v>
      </c>
      <c r="E64" s="8">
        <v>1</v>
      </c>
      <c r="F64" s="8">
        <v>0</v>
      </c>
      <c r="G64" s="8">
        <v>0</v>
      </c>
      <c r="H64" s="8">
        <v>0</v>
      </c>
      <c r="I64" s="8">
        <v>1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</row>
    <row r="65" spans="1:21" x14ac:dyDescent="0.3">
      <c r="A65" s="6" t="s">
        <v>85</v>
      </c>
      <c r="B65" s="6" t="s">
        <v>86</v>
      </c>
      <c r="C65" s="6" t="s">
        <v>87</v>
      </c>
      <c r="D65" s="7">
        <f t="shared" si="0"/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</row>
    <row r="66" spans="1:21" x14ac:dyDescent="0.3">
      <c r="A66" s="6" t="s">
        <v>85</v>
      </c>
      <c r="B66" s="6" t="s">
        <v>86</v>
      </c>
      <c r="C66" s="6" t="s">
        <v>88</v>
      </c>
      <c r="D66" s="7">
        <f t="shared" ref="D66:D129" si="1">SUBTOTAL(9,E66:U66)</f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</row>
    <row r="67" spans="1:21" x14ac:dyDescent="0.3">
      <c r="A67" s="6" t="str">
        <f>VLOOKUP(C67,'[1]MURATPAŞA BÖLGE'!$C:$H,6,0)</f>
        <v>GİZEM TOSUN</v>
      </c>
      <c r="B67" s="6" t="str">
        <f>VLOOKUP(C67,'[1]MURATPAŞA BÖLGE'!$C:$G,5,0)</f>
        <v>FATİH SERT</v>
      </c>
      <c r="C67" s="6" t="s">
        <v>129</v>
      </c>
      <c r="D67" s="7">
        <f t="shared" si="1"/>
        <v>16</v>
      </c>
      <c r="E67" s="8">
        <v>2</v>
      </c>
      <c r="F67" s="8">
        <v>1</v>
      </c>
      <c r="G67" s="8">
        <v>1</v>
      </c>
      <c r="H67" s="8">
        <v>1</v>
      </c>
      <c r="I67" s="8">
        <v>4</v>
      </c>
      <c r="J67" s="8">
        <v>1</v>
      </c>
      <c r="K67" s="8">
        <v>0</v>
      </c>
      <c r="L67" s="8">
        <v>1</v>
      </c>
      <c r="M67" s="8">
        <v>1</v>
      </c>
      <c r="N67" s="8">
        <v>1</v>
      </c>
      <c r="O67" s="8">
        <v>1</v>
      </c>
      <c r="P67" s="8">
        <v>1</v>
      </c>
      <c r="Q67" s="8">
        <v>1</v>
      </c>
      <c r="R67" s="8">
        <v>0</v>
      </c>
      <c r="S67" s="8">
        <v>0</v>
      </c>
      <c r="T67" s="8">
        <v>0</v>
      </c>
      <c r="U67" s="8">
        <v>0</v>
      </c>
    </row>
    <row r="68" spans="1:21" x14ac:dyDescent="0.3">
      <c r="A68" s="6" t="s">
        <v>85</v>
      </c>
      <c r="B68" s="6" t="str">
        <f>VLOOKUP(C68,'[1]MURATPAŞA BÖLGE'!$C:$G,5,0)</f>
        <v>FATİH SERT</v>
      </c>
      <c r="C68" s="6" t="s">
        <v>123</v>
      </c>
      <c r="D68" s="7">
        <f t="shared" si="1"/>
        <v>11</v>
      </c>
      <c r="E68" s="8">
        <v>1</v>
      </c>
      <c r="F68" s="8">
        <v>1</v>
      </c>
      <c r="G68" s="8">
        <v>0</v>
      </c>
      <c r="H68" s="8">
        <v>1</v>
      </c>
      <c r="I68" s="8">
        <v>2</v>
      </c>
      <c r="J68" s="8">
        <v>1</v>
      </c>
      <c r="K68" s="8">
        <v>0</v>
      </c>
      <c r="L68" s="8">
        <v>1</v>
      </c>
      <c r="M68" s="8">
        <v>1</v>
      </c>
      <c r="N68" s="8">
        <v>1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1</v>
      </c>
    </row>
    <row r="69" spans="1:21" x14ac:dyDescent="0.3">
      <c r="A69" s="6" t="str">
        <f>VLOOKUP(C69,'[1]MURATPAŞA BÖLGE'!$C:$H,6,0)</f>
        <v>GİZEM TOSUN</v>
      </c>
      <c r="B69" s="6" t="str">
        <f>VLOOKUP(C69,'[1]MURATPAŞA BÖLGE'!$C:$G,5,0)</f>
        <v>FATİH SERT</v>
      </c>
      <c r="C69" s="6" t="s">
        <v>101</v>
      </c>
      <c r="D69" s="7">
        <f t="shared" si="1"/>
        <v>9</v>
      </c>
      <c r="E69" s="8">
        <v>0</v>
      </c>
      <c r="F69" s="8">
        <v>1</v>
      </c>
      <c r="G69" s="8">
        <v>1</v>
      </c>
      <c r="H69" s="8">
        <v>1</v>
      </c>
      <c r="I69" s="8">
        <v>3</v>
      </c>
      <c r="J69" s="8">
        <v>0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1</v>
      </c>
      <c r="R69" s="8">
        <v>0</v>
      </c>
      <c r="S69" s="8">
        <v>0</v>
      </c>
      <c r="T69" s="8">
        <v>0</v>
      </c>
      <c r="U69" s="8">
        <v>1</v>
      </c>
    </row>
    <row r="70" spans="1:21" x14ac:dyDescent="0.3">
      <c r="A70" s="6" t="str">
        <f>VLOOKUP(C70,'[1]MURATPAŞA BÖLGE'!$C:$H,6,0)</f>
        <v>GİZEM TOSUN</v>
      </c>
      <c r="B70" s="6" t="str">
        <f>VLOOKUP(C70,'[1]MURATPAŞA BÖLGE'!$C:$G,5,0)</f>
        <v>FATİH SERT</v>
      </c>
      <c r="C70" s="6" t="s">
        <v>103</v>
      </c>
      <c r="D70" s="7">
        <f t="shared" si="1"/>
        <v>9</v>
      </c>
      <c r="E70" s="8">
        <v>1</v>
      </c>
      <c r="F70" s="8">
        <v>0</v>
      </c>
      <c r="G70" s="8">
        <v>1</v>
      </c>
      <c r="H70" s="8">
        <v>1</v>
      </c>
      <c r="I70" s="8">
        <v>3</v>
      </c>
      <c r="J70" s="8">
        <v>0</v>
      </c>
      <c r="K70" s="8">
        <v>0</v>
      </c>
      <c r="L70" s="8">
        <v>0</v>
      </c>
      <c r="M70" s="8">
        <v>1</v>
      </c>
      <c r="N70" s="8">
        <v>1</v>
      </c>
      <c r="O70" s="8">
        <v>0</v>
      </c>
      <c r="P70" s="8">
        <v>1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</row>
    <row r="71" spans="1:21" x14ac:dyDescent="0.3">
      <c r="A71" s="6" t="str">
        <f>VLOOKUP(C71,'[1]MURATPAŞA BÖLGE'!$C:$H,6,0)</f>
        <v>GİZEM TOSUN</v>
      </c>
      <c r="B71" s="6" t="str">
        <f>VLOOKUP(C71,'[1]MURATPAŞA BÖLGE'!$C:$G,5,0)</f>
        <v>FATİH SERT</v>
      </c>
      <c r="C71" s="6" t="s">
        <v>98</v>
      </c>
      <c r="D71" s="7">
        <f t="shared" si="1"/>
        <v>8</v>
      </c>
      <c r="E71" s="8">
        <v>0</v>
      </c>
      <c r="F71" s="8">
        <v>1</v>
      </c>
      <c r="G71" s="8">
        <v>0</v>
      </c>
      <c r="H71" s="8">
        <v>1</v>
      </c>
      <c r="I71" s="8">
        <v>2</v>
      </c>
      <c r="J71" s="8">
        <v>1</v>
      </c>
      <c r="K71" s="8">
        <v>0</v>
      </c>
      <c r="L71" s="8">
        <v>0</v>
      </c>
      <c r="M71" s="8">
        <v>1</v>
      </c>
      <c r="N71" s="8">
        <v>0</v>
      </c>
      <c r="O71" s="8">
        <v>1</v>
      </c>
      <c r="P71" s="8">
        <v>1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</row>
    <row r="72" spans="1:21" x14ac:dyDescent="0.3">
      <c r="A72" s="6" t="str">
        <f>VLOOKUP(C72,'[1]MURATPAŞA BÖLGE'!$C:$H,6,0)</f>
        <v>GİZEM TOSUN</v>
      </c>
      <c r="B72" s="6" t="str">
        <f>VLOOKUP(C72,'[1]MURATPAŞA BÖLGE'!$C:$G,5,0)</f>
        <v>FATİH SERT</v>
      </c>
      <c r="C72" s="6" t="s">
        <v>102</v>
      </c>
      <c r="D72" s="7">
        <f t="shared" si="1"/>
        <v>8</v>
      </c>
      <c r="E72" s="8">
        <v>0</v>
      </c>
      <c r="F72" s="8">
        <v>1</v>
      </c>
      <c r="G72" s="8">
        <v>0</v>
      </c>
      <c r="H72" s="8">
        <v>1</v>
      </c>
      <c r="I72" s="8">
        <v>3</v>
      </c>
      <c r="J72" s="8">
        <v>0</v>
      </c>
      <c r="K72" s="8">
        <v>0</v>
      </c>
      <c r="L72" s="8">
        <v>1</v>
      </c>
      <c r="M72" s="8">
        <v>1</v>
      </c>
      <c r="N72" s="8">
        <v>0</v>
      </c>
      <c r="O72" s="8">
        <v>0</v>
      </c>
      <c r="P72" s="8">
        <v>1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</row>
    <row r="73" spans="1:21" x14ac:dyDescent="0.3">
      <c r="A73" s="6" t="str">
        <f>VLOOKUP(C73,'[1]MURATPAŞA BÖLGE'!$C:$H,6,0)</f>
        <v>GİZEM TOSUN</v>
      </c>
      <c r="B73" s="6" t="str">
        <f>VLOOKUP(C73,'[1]MURATPAŞA BÖLGE'!$C:$G,5,0)</f>
        <v>FATİH SERT</v>
      </c>
      <c r="C73" s="6" t="s">
        <v>93</v>
      </c>
      <c r="D73" s="7">
        <f t="shared" si="1"/>
        <v>6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1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</row>
    <row r="74" spans="1:21" x14ac:dyDescent="0.3">
      <c r="A74" s="6" t="str">
        <f>VLOOKUP(C74,'[1]MURATPAŞA BÖLGE'!$C:$H,6,0)</f>
        <v>GİZEM TOSUN</v>
      </c>
      <c r="B74" s="6" t="str">
        <f>VLOOKUP(C74,'[1]MURATPAŞA BÖLGE'!$C:$G,5,0)</f>
        <v>İSMAİL UĞUR KAYA</v>
      </c>
      <c r="C74" s="6" t="s">
        <v>117</v>
      </c>
      <c r="D74" s="7">
        <f t="shared" si="1"/>
        <v>9</v>
      </c>
      <c r="E74" s="8">
        <v>2</v>
      </c>
      <c r="F74" s="8">
        <v>1</v>
      </c>
      <c r="G74" s="8">
        <v>1</v>
      </c>
      <c r="H74" s="8">
        <v>1</v>
      </c>
      <c r="I74" s="8">
        <v>2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1</v>
      </c>
      <c r="P74" s="8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</row>
    <row r="75" spans="1:21" x14ac:dyDescent="0.3">
      <c r="A75" s="6" t="str">
        <f>VLOOKUP(C75,'[1]MURATPAŞA BÖLGE'!$C:$H,6,0)</f>
        <v>GİZEM TOSUN</v>
      </c>
      <c r="B75" s="6" t="str">
        <f>VLOOKUP(C75,'[1]MURATPAŞA BÖLGE'!$C:$G,5,0)</f>
        <v>İSMAİL UĞUR KAYA</v>
      </c>
      <c r="C75" s="6" t="s">
        <v>124</v>
      </c>
      <c r="D75" s="7">
        <f t="shared" si="1"/>
        <v>9</v>
      </c>
      <c r="E75" s="8">
        <v>0</v>
      </c>
      <c r="F75" s="8">
        <v>1</v>
      </c>
      <c r="G75" s="8">
        <v>0</v>
      </c>
      <c r="H75" s="8">
        <v>1</v>
      </c>
      <c r="I75" s="8">
        <v>3</v>
      </c>
      <c r="J75" s="8">
        <v>0</v>
      </c>
      <c r="K75" s="8">
        <v>1</v>
      </c>
      <c r="L75" s="8">
        <v>0</v>
      </c>
      <c r="M75" s="8">
        <v>0</v>
      </c>
      <c r="N75" s="8">
        <v>0</v>
      </c>
      <c r="O75" s="8">
        <v>2</v>
      </c>
      <c r="P75" s="8">
        <v>1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</row>
    <row r="76" spans="1:21" x14ac:dyDescent="0.3">
      <c r="A76" s="6" t="str">
        <f>VLOOKUP(C76,'[1]MURATPAŞA BÖLGE'!$C:$H,6,0)</f>
        <v>GİZEM TOSUN</v>
      </c>
      <c r="B76" s="6" t="str">
        <f>VLOOKUP(C76,'[1]MURATPAŞA BÖLGE'!$C:$G,5,0)</f>
        <v>İSMAİL UĞUR KAYA</v>
      </c>
      <c r="C76" s="6" t="s">
        <v>109</v>
      </c>
      <c r="D76" s="7">
        <f t="shared" si="1"/>
        <v>7</v>
      </c>
      <c r="E76" s="8">
        <v>0</v>
      </c>
      <c r="F76" s="8">
        <v>1</v>
      </c>
      <c r="G76" s="8">
        <v>1</v>
      </c>
      <c r="H76" s="8">
        <v>1</v>
      </c>
      <c r="I76" s="8">
        <v>2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1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</row>
    <row r="77" spans="1:21" x14ac:dyDescent="0.3">
      <c r="A77" s="6" t="str">
        <f>VLOOKUP(C77,'[1]MURATPAŞA BÖLGE'!$C:$H,6,0)</f>
        <v>GİZEM TOSUN</v>
      </c>
      <c r="B77" s="6" t="str">
        <f>VLOOKUP(C77,'[1]MURATPAŞA BÖLGE'!$C:$G,5,0)</f>
        <v>İSMAİL UĞUR KAYA</v>
      </c>
      <c r="C77" s="6" t="s">
        <v>110</v>
      </c>
      <c r="D77" s="7">
        <f t="shared" si="1"/>
        <v>7</v>
      </c>
      <c r="E77" s="8">
        <v>0</v>
      </c>
      <c r="F77" s="8">
        <v>1</v>
      </c>
      <c r="G77" s="8">
        <v>0</v>
      </c>
      <c r="H77" s="8">
        <v>1</v>
      </c>
      <c r="I77" s="8">
        <v>2</v>
      </c>
      <c r="J77" s="8">
        <v>0</v>
      </c>
      <c r="K77" s="8">
        <v>0</v>
      </c>
      <c r="L77" s="8">
        <v>0</v>
      </c>
      <c r="M77" s="8">
        <v>1</v>
      </c>
      <c r="N77" s="8">
        <v>1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</row>
    <row r="78" spans="1:21" x14ac:dyDescent="0.3">
      <c r="A78" s="6" t="str">
        <f>VLOOKUP(C78,'[1]MURATPAŞA BÖLGE'!$C:$H,6,0)</f>
        <v>GİZEM TOSUN</v>
      </c>
      <c r="B78" s="6" t="str">
        <f>VLOOKUP(C78,'[1]MURATPAŞA BÖLGE'!$C:$G,5,0)</f>
        <v>İSMAİL UĞUR KAYA</v>
      </c>
      <c r="C78" s="6" t="s">
        <v>105</v>
      </c>
      <c r="D78" s="7">
        <f t="shared" si="1"/>
        <v>6</v>
      </c>
      <c r="E78" s="8">
        <v>1</v>
      </c>
      <c r="F78" s="8">
        <v>0</v>
      </c>
      <c r="G78" s="8">
        <v>1</v>
      </c>
      <c r="H78" s="8">
        <v>0</v>
      </c>
      <c r="I78" s="8">
        <v>2</v>
      </c>
      <c r="J78" s="8">
        <v>0</v>
      </c>
      <c r="K78" s="8">
        <v>0</v>
      </c>
      <c r="L78" s="8">
        <v>0</v>
      </c>
      <c r="M78" s="8">
        <v>0</v>
      </c>
      <c r="N78" s="8">
        <v>1</v>
      </c>
      <c r="O78" s="8">
        <v>1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</row>
    <row r="79" spans="1:21" x14ac:dyDescent="0.3">
      <c r="A79" s="6" t="str">
        <f>VLOOKUP(C79,'[1]MURATPAŞA BÖLGE'!$C:$H,6,0)</f>
        <v>GİZEM TOSUN</v>
      </c>
      <c r="B79" s="6" t="str">
        <f>VLOOKUP(C79,'[1]MURATPAŞA BÖLGE'!$C:$G,5,0)</f>
        <v>İSMAİL UĞUR KAYA</v>
      </c>
      <c r="C79" s="6" t="s">
        <v>104</v>
      </c>
      <c r="D79" s="7">
        <f t="shared" si="1"/>
        <v>5</v>
      </c>
      <c r="E79" s="8">
        <v>1</v>
      </c>
      <c r="F79" s="8">
        <v>1</v>
      </c>
      <c r="G79" s="8">
        <v>0</v>
      </c>
      <c r="H79" s="8">
        <v>0</v>
      </c>
      <c r="I79" s="8">
        <v>2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1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</row>
    <row r="80" spans="1:21" x14ac:dyDescent="0.3">
      <c r="A80" s="6" t="str">
        <f>VLOOKUP(C80,'[1]MURATPAŞA BÖLGE'!$C:$H,6,0)</f>
        <v>GİZEM TOSUN</v>
      </c>
      <c r="B80" s="6" t="str">
        <f>VLOOKUP(C80,'[1]MURATPAŞA BÖLGE'!$C:$G,5,0)</f>
        <v>İSMAİL UĞUR KAYA</v>
      </c>
      <c r="C80" s="6" t="s">
        <v>96</v>
      </c>
      <c r="D80" s="7">
        <f t="shared" si="1"/>
        <v>4</v>
      </c>
      <c r="E80" s="8">
        <v>0</v>
      </c>
      <c r="F80" s="8">
        <v>0</v>
      </c>
      <c r="G80" s="8">
        <v>1</v>
      </c>
      <c r="H80" s="8">
        <v>1</v>
      </c>
      <c r="I80" s="8">
        <v>1</v>
      </c>
      <c r="J80" s="8">
        <v>0</v>
      </c>
      <c r="K80" s="8">
        <v>0</v>
      </c>
      <c r="L80" s="8">
        <v>0</v>
      </c>
      <c r="M80" s="8">
        <v>1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</row>
    <row r="81" spans="1:21" x14ac:dyDescent="0.3">
      <c r="A81" s="6" t="str">
        <f>VLOOKUP(C81,'[1]MURATPAŞA BÖLGE'!$C:$H,6,0)</f>
        <v>GİZEM TOSUN</v>
      </c>
      <c r="B81" s="6" t="str">
        <f>VLOOKUP(C81,'[1]MURATPAŞA BÖLGE'!$C:$G,5,0)</f>
        <v>İSMAİL UĞUR KAYA</v>
      </c>
      <c r="C81" s="6" t="s">
        <v>97</v>
      </c>
      <c r="D81" s="7">
        <f t="shared" si="1"/>
        <v>4</v>
      </c>
      <c r="E81" s="8">
        <v>0</v>
      </c>
      <c r="F81" s="8">
        <v>0</v>
      </c>
      <c r="G81" s="8">
        <v>0</v>
      </c>
      <c r="H81" s="8">
        <v>0</v>
      </c>
      <c r="I81" s="8">
        <v>2</v>
      </c>
      <c r="J81" s="8">
        <v>0</v>
      </c>
      <c r="K81" s="8">
        <v>0</v>
      </c>
      <c r="L81" s="8">
        <v>0</v>
      </c>
      <c r="M81" s="8">
        <v>1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0</v>
      </c>
      <c r="T81" s="8">
        <v>0</v>
      </c>
      <c r="U81" s="8">
        <v>0</v>
      </c>
    </row>
    <row r="82" spans="1:21" x14ac:dyDescent="0.3">
      <c r="A82" s="6" t="str">
        <f>VLOOKUP(C82,'[1]MURATPAŞA BÖLGE'!$C:$H,6,0)</f>
        <v>GİZEM TOSUN</v>
      </c>
      <c r="B82" s="6" t="str">
        <f>VLOOKUP(C82,'[1]MURATPAŞA BÖLGE'!$C:$G,5,0)</f>
        <v>İSMAİL YAZGAN</v>
      </c>
      <c r="C82" s="6" t="s">
        <v>135</v>
      </c>
      <c r="D82" s="7">
        <f t="shared" si="1"/>
        <v>14</v>
      </c>
      <c r="E82" s="8">
        <v>2</v>
      </c>
      <c r="F82" s="8">
        <v>1</v>
      </c>
      <c r="G82" s="8">
        <v>1</v>
      </c>
      <c r="H82" s="8">
        <v>1</v>
      </c>
      <c r="I82" s="8">
        <v>3</v>
      </c>
      <c r="J82" s="8">
        <v>1</v>
      </c>
      <c r="K82" s="8">
        <v>0</v>
      </c>
      <c r="L82" s="8">
        <v>1</v>
      </c>
      <c r="M82" s="8">
        <v>2</v>
      </c>
      <c r="N82" s="8">
        <v>0</v>
      </c>
      <c r="O82" s="8">
        <v>0</v>
      </c>
      <c r="P82" s="8">
        <v>0</v>
      </c>
      <c r="Q82" s="8">
        <v>1</v>
      </c>
      <c r="R82" s="8">
        <v>0</v>
      </c>
      <c r="S82" s="8">
        <v>0</v>
      </c>
      <c r="T82" s="8">
        <v>0</v>
      </c>
      <c r="U82" s="8">
        <v>1</v>
      </c>
    </row>
    <row r="83" spans="1:21" x14ac:dyDescent="0.3">
      <c r="A83" s="6" t="s">
        <v>85</v>
      </c>
      <c r="B83" s="6" t="s">
        <v>133</v>
      </c>
      <c r="C83" s="6" t="s">
        <v>258</v>
      </c>
      <c r="D83" s="7">
        <f t="shared" si="1"/>
        <v>10</v>
      </c>
      <c r="E83" s="8">
        <v>2</v>
      </c>
      <c r="F83" s="8">
        <v>1</v>
      </c>
      <c r="G83" s="8">
        <v>3</v>
      </c>
      <c r="H83" s="8">
        <v>0</v>
      </c>
      <c r="I83" s="8">
        <v>1</v>
      </c>
      <c r="J83" s="8">
        <v>0</v>
      </c>
      <c r="K83" s="8">
        <v>0</v>
      </c>
      <c r="L83" s="8">
        <v>1</v>
      </c>
      <c r="M83" s="8">
        <v>1</v>
      </c>
      <c r="N83" s="8">
        <v>0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</row>
    <row r="84" spans="1:21" x14ac:dyDescent="0.3">
      <c r="A84" s="6" t="s">
        <v>85</v>
      </c>
      <c r="B84" s="6" t="s">
        <v>133</v>
      </c>
      <c r="C84" s="6" t="s">
        <v>134</v>
      </c>
      <c r="D84" s="7">
        <f t="shared" si="1"/>
        <v>13</v>
      </c>
      <c r="E84" s="8">
        <v>2</v>
      </c>
      <c r="F84" s="8">
        <v>1</v>
      </c>
      <c r="G84" s="8">
        <v>1</v>
      </c>
      <c r="H84" s="8">
        <v>1</v>
      </c>
      <c r="I84" s="8">
        <v>3</v>
      </c>
      <c r="J84" s="8">
        <v>0</v>
      </c>
      <c r="K84" s="8">
        <v>1</v>
      </c>
      <c r="L84" s="8">
        <v>1</v>
      </c>
      <c r="M84" s="8">
        <v>1</v>
      </c>
      <c r="N84" s="8">
        <v>1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0</v>
      </c>
      <c r="U84" s="8">
        <v>0</v>
      </c>
    </row>
    <row r="85" spans="1:21" x14ac:dyDescent="0.3">
      <c r="A85" s="6" t="str">
        <f>VLOOKUP(C85,'[1]MURATPAŞA BÖLGE'!$C:$H,6,0)</f>
        <v>GİZEM TOSUN</v>
      </c>
      <c r="B85" s="6" t="str">
        <f>VLOOKUP(C85,'[1]MURATPAŞA BÖLGE'!$C:$G,5,0)</f>
        <v>İSMAİL YAZGAN</v>
      </c>
      <c r="C85" s="6" t="s">
        <v>139</v>
      </c>
      <c r="D85" s="7">
        <f t="shared" si="1"/>
        <v>13</v>
      </c>
      <c r="E85" s="8">
        <v>1</v>
      </c>
      <c r="F85" s="8">
        <v>1</v>
      </c>
      <c r="G85" s="8">
        <v>1</v>
      </c>
      <c r="H85" s="8">
        <v>1</v>
      </c>
      <c r="I85" s="8">
        <v>2</v>
      </c>
      <c r="J85" s="8">
        <v>1</v>
      </c>
      <c r="K85" s="8">
        <v>0</v>
      </c>
      <c r="L85" s="8">
        <v>1</v>
      </c>
      <c r="M85" s="8">
        <v>2</v>
      </c>
      <c r="N85" s="8">
        <v>1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1</v>
      </c>
    </row>
    <row r="86" spans="1:21" x14ac:dyDescent="0.3">
      <c r="A86" s="6" t="str">
        <f>VLOOKUP(C86,'[1]MURATPAŞA BÖLGE'!$C:$H,6,0)</f>
        <v>GİZEM TOSUN</v>
      </c>
      <c r="B86" s="6" t="str">
        <f>VLOOKUP(C86,'[1]MURATPAŞA BÖLGE'!$C:$G,5,0)</f>
        <v>İSMAİL YAZGAN</v>
      </c>
      <c r="C86" s="6" t="s">
        <v>127</v>
      </c>
      <c r="D86" s="7">
        <f t="shared" si="1"/>
        <v>11</v>
      </c>
      <c r="E86" s="8">
        <v>1</v>
      </c>
      <c r="F86" s="8">
        <v>2</v>
      </c>
      <c r="G86" s="8">
        <v>1</v>
      </c>
      <c r="H86" s="8">
        <v>1</v>
      </c>
      <c r="I86" s="8">
        <v>3</v>
      </c>
      <c r="J86" s="8">
        <v>1</v>
      </c>
      <c r="K86" s="8">
        <v>0</v>
      </c>
      <c r="L86" s="8">
        <v>0</v>
      </c>
      <c r="M86" s="8">
        <v>1</v>
      </c>
      <c r="N86" s="8">
        <v>1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</row>
    <row r="87" spans="1:21" x14ac:dyDescent="0.3">
      <c r="A87" s="6" t="str">
        <f>VLOOKUP(C87,'[1]MURATPAŞA BÖLGE'!$C:$H,6,0)</f>
        <v>GİZEM TOSUN</v>
      </c>
      <c r="B87" s="6" t="str">
        <f>VLOOKUP(C87,'[1]MURATPAŞA BÖLGE'!$C:$G,5,0)</f>
        <v>İSMAİL YAZGAN</v>
      </c>
      <c r="C87" s="6" t="s">
        <v>119</v>
      </c>
      <c r="D87" s="7">
        <f t="shared" si="1"/>
        <v>9</v>
      </c>
      <c r="E87" s="8">
        <v>1</v>
      </c>
      <c r="F87" s="8">
        <v>1</v>
      </c>
      <c r="G87" s="8">
        <v>2</v>
      </c>
      <c r="H87" s="8">
        <v>0</v>
      </c>
      <c r="I87" s="8">
        <v>3</v>
      </c>
      <c r="J87" s="8">
        <v>0</v>
      </c>
      <c r="K87" s="8">
        <v>0</v>
      </c>
      <c r="L87" s="8">
        <v>0</v>
      </c>
      <c r="M87" s="8">
        <v>1</v>
      </c>
      <c r="N87" s="8">
        <v>0</v>
      </c>
      <c r="O87" s="8">
        <v>1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</row>
    <row r="88" spans="1:21" x14ac:dyDescent="0.3">
      <c r="A88" s="6" t="str">
        <f>VLOOKUP(C88,'[1]MURATPAŞA BÖLGE'!$C:$H,6,0)</f>
        <v>GİZEM TOSUN</v>
      </c>
      <c r="B88" s="6" t="str">
        <f>VLOOKUP(C88,'[1]MURATPAŞA BÖLGE'!$C:$G,5,0)</f>
        <v>İSMAİL YAZGAN</v>
      </c>
      <c r="C88" s="6" t="s">
        <v>118</v>
      </c>
      <c r="D88" s="7">
        <f t="shared" si="1"/>
        <v>8</v>
      </c>
      <c r="E88" s="8">
        <v>0</v>
      </c>
      <c r="F88" s="8">
        <v>0</v>
      </c>
      <c r="G88" s="8">
        <v>1</v>
      </c>
      <c r="H88" s="8">
        <v>1</v>
      </c>
      <c r="I88" s="8">
        <v>3</v>
      </c>
      <c r="J88" s="8">
        <v>0</v>
      </c>
      <c r="K88" s="8">
        <v>0</v>
      </c>
      <c r="L88" s="8">
        <v>0</v>
      </c>
      <c r="M88" s="8">
        <v>2</v>
      </c>
      <c r="N88" s="8">
        <v>1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</row>
    <row r="89" spans="1:21" x14ac:dyDescent="0.3">
      <c r="A89" s="6" t="str">
        <f>VLOOKUP(C89,'[1]MURATPAŞA BÖLGE'!$C:$H,6,0)</f>
        <v>GİZEM TOSUN</v>
      </c>
      <c r="B89" s="6" t="str">
        <f>VLOOKUP(C89,'[1]MURATPAŞA BÖLGE'!$C:$G,5,0)</f>
        <v>İSMAİL YAZGAN</v>
      </c>
      <c r="C89" s="6" t="s">
        <v>113</v>
      </c>
      <c r="D89" s="7">
        <f t="shared" si="1"/>
        <v>5</v>
      </c>
      <c r="E89" s="8">
        <v>0</v>
      </c>
      <c r="F89" s="8">
        <v>1</v>
      </c>
      <c r="G89" s="8">
        <v>0</v>
      </c>
      <c r="H89" s="8">
        <v>0</v>
      </c>
      <c r="I89" s="8">
        <v>3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1</v>
      </c>
      <c r="R89" s="8">
        <v>0</v>
      </c>
      <c r="S89" s="8">
        <v>0</v>
      </c>
      <c r="T89" s="8">
        <v>0</v>
      </c>
      <c r="U89" s="8">
        <v>0</v>
      </c>
    </row>
    <row r="90" spans="1:21" x14ac:dyDescent="0.3">
      <c r="A90" s="6" t="str">
        <f>VLOOKUP(C90,'[1]MURATPAŞA BÖLGE'!$C:$H,6,0)</f>
        <v>GİZEM TOSUN</v>
      </c>
      <c r="B90" s="6" t="str">
        <f>VLOOKUP(C90,'[1]MURATPAŞA BÖLGE'!$C:$G,5,0)</f>
        <v>İSMAİL YAZGAN</v>
      </c>
      <c r="C90" s="6" t="s">
        <v>94</v>
      </c>
      <c r="D90" s="7">
        <f t="shared" si="1"/>
        <v>3</v>
      </c>
      <c r="E90" s="8">
        <v>0</v>
      </c>
      <c r="F90" s="8">
        <v>1</v>
      </c>
      <c r="G90" s="8">
        <v>0</v>
      </c>
      <c r="H90" s="8">
        <v>0</v>
      </c>
      <c r="I90" s="8">
        <v>2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</row>
    <row r="91" spans="1:21" x14ac:dyDescent="0.3">
      <c r="A91" s="6" t="s">
        <v>85</v>
      </c>
      <c r="B91" s="6" t="s">
        <v>143</v>
      </c>
      <c r="C91" s="6" t="s">
        <v>144</v>
      </c>
      <c r="D91" s="7">
        <f t="shared" si="1"/>
        <v>8</v>
      </c>
      <c r="E91" s="8">
        <v>1</v>
      </c>
      <c r="F91" s="8">
        <v>1</v>
      </c>
      <c r="G91" s="8">
        <v>1</v>
      </c>
      <c r="H91" s="8">
        <v>1</v>
      </c>
      <c r="I91" s="8">
        <v>2</v>
      </c>
      <c r="J91" s="8">
        <v>1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</row>
    <row r="92" spans="1:21" x14ac:dyDescent="0.3">
      <c r="A92" s="6" t="s">
        <v>85</v>
      </c>
      <c r="B92" s="6" t="s">
        <v>90</v>
      </c>
      <c r="C92" s="6" t="s">
        <v>136</v>
      </c>
      <c r="D92" s="7">
        <f t="shared" si="1"/>
        <v>13</v>
      </c>
      <c r="E92" s="8">
        <v>1</v>
      </c>
      <c r="F92" s="8">
        <v>1</v>
      </c>
      <c r="G92" s="8">
        <v>1</v>
      </c>
      <c r="H92" s="8">
        <v>1</v>
      </c>
      <c r="I92" s="8">
        <v>3</v>
      </c>
      <c r="J92" s="8">
        <v>1</v>
      </c>
      <c r="K92" s="8">
        <v>0</v>
      </c>
      <c r="L92" s="8">
        <v>0</v>
      </c>
      <c r="M92" s="8">
        <v>2</v>
      </c>
      <c r="N92" s="8">
        <v>0</v>
      </c>
      <c r="O92" s="8">
        <v>1</v>
      </c>
      <c r="P92" s="8">
        <v>0</v>
      </c>
      <c r="Q92" s="8">
        <v>2</v>
      </c>
      <c r="R92" s="8">
        <v>0</v>
      </c>
      <c r="S92" s="8">
        <v>0</v>
      </c>
      <c r="T92" s="8">
        <v>0</v>
      </c>
      <c r="U92" s="8">
        <v>0</v>
      </c>
    </row>
    <row r="93" spans="1:21" x14ac:dyDescent="0.3">
      <c r="A93" s="6" t="str">
        <f>VLOOKUP(C93,'[1]MURATPAŞA BÖLGE'!$C:$H,6,0)</f>
        <v>GİZEM TOSUN</v>
      </c>
      <c r="B93" s="6" t="str">
        <f>VLOOKUP(C93,'[1]MURATPAŞA BÖLGE'!$C:$G,5,0)</f>
        <v>İSMET YILMAZ</v>
      </c>
      <c r="C93" s="6" t="s">
        <v>125</v>
      </c>
      <c r="D93" s="7">
        <f t="shared" si="1"/>
        <v>11</v>
      </c>
      <c r="E93" s="8">
        <v>1</v>
      </c>
      <c r="F93" s="8">
        <v>1</v>
      </c>
      <c r="G93" s="8">
        <v>0</v>
      </c>
      <c r="H93" s="8">
        <v>0</v>
      </c>
      <c r="I93" s="8">
        <v>3</v>
      </c>
      <c r="J93" s="8">
        <v>1</v>
      </c>
      <c r="K93" s="8">
        <v>0</v>
      </c>
      <c r="L93" s="8">
        <v>1</v>
      </c>
      <c r="M93" s="8">
        <v>1</v>
      </c>
      <c r="N93" s="8">
        <v>1</v>
      </c>
      <c r="O93" s="8">
        <v>1</v>
      </c>
      <c r="P93" s="8">
        <v>1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</row>
    <row r="94" spans="1:21" x14ac:dyDescent="0.3">
      <c r="A94" s="6" t="str">
        <f>VLOOKUP(C94,'[1]MURATPAŞA BÖLGE'!$C:$H,6,0)</f>
        <v>GİZEM TOSUN</v>
      </c>
      <c r="B94" s="6" t="str">
        <f>VLOOKUP(C94,'[1]MURATPAŞA BÖLGE'!$C:$G,5,0)</f>
        <v>İSMET YILMAZ</v>
      </c>
      <c r="C94" s="6" t="s">
        <v>121</v>
      </c>
      <c r="D94" s="7">
        <f t="shared" si="1"/>
        <v>10</v>
      </c>
      <c r="E94" s="8">
        <v>1</v>
      </c>
      <c r="F94" s="8">
        <v>0</v>
      </c>
      <c r="G94" s="8">
        <v>0</v>
      </c>
      <c r="H94" s="8">
        <v>1</v>
      </c>
      <c r="I94" s="8">
        <v>4</v>
      </c>
      <c r="J94" s="8">
        <v>0</v>
      </c>
      <c r="K94" s="8">
        <v>1</v>
      </c>
      <c r="L94" s="8">
        <v>0</v>
      </c>
      <c r="M94" s="8">
        <v>1</v>
      </c>
      <c r="N94" s="8">
        <v>0</v>
      </c>
      <c r="O94" s="8">
        <v>1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1</v>
      </c>
    </row>
    <row r="95" spans="1:21" x14ac:dyDescent="0.3">
      <c r="A95" s="6" t="str">
        <f>VLOOKUP(C95,'[1]MURATPAŞA BÖLGE'!$C:$H,6,0)</f>
        <v>GİZEM TOSUN</v>
      </c>
      <c r="B95" s="6" t="str">
        <f>VLOOKUP(C95,'[1]MURATPAŞA BÖLGE'!$C:$G,5,0)</f>
        <v>İSMET YILMAZ</v>
      </c>
      <c r="C95" s="6" t="s">
        <v>106</v>
      </c>
      <c r="D95" s="7">
        <f t="shared" si="1"/>
        <v>6</v>
      </c>
      <c r="E95" s="8">
        <v>1</v>
      </c>
      <c r="F95" s="8">
        <v>1</v>
      </c>
      <c r="G95" s="8">
        <v>0</v>
      </c>
      <c r="H95" s="8">
        <v>1</v>
      </c>
      <c r="I95" s="8">
        <v>2</v>
      </c>
      <c r="J95" s="8">
        <v>0</v>
      </c>
      <c r="K95" s="8">
        <v>0</v>
      </c>
      <c r="L95" s="8">
        <v>0</v>
      </c>
      <c r="M95" s="8">
        <v>1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</row>
    <row r="96" spans="1:21" x14ac:dyDescent="0.3">
      <c r="A96" s="6" t="str">
        <f>VLOOKUP(C96,'[1]MURATPAŞA BÖLGE'!$C:$H,6,0)</f>
        <v>GİZEM TOSUN</v>
      </c>
      <c r="B96" s="6" t="str">
        <f>VLOOKUP(C96,'[1]MURATPAŞA BÖLGE'!$C:$G,5,0)</f>
        <v>İSMET YILMAZ</v>
      </c>
      <c r="C96" s="6" t="s">
        <v>107</v>
      </c>
      <c r="D96" s="7">
        <f t="shared" si="1"/>
        <v>6</v>
      </c>
      <c r="E96" s="8">
        <v>1</v>
      </c>
      <c r="F96" s="8">
        <v>1</v>
      </c>
      <c r="G96" s="8">
        <v>0</v>
      </c>
      <c r="H96" s="8">
        <v>0</v>
      </c>
      <c r="I96" s="8">
        <v>3</v>
      </c>
      <c r="J96" s="8">
        <v>0</v>
      </c>
      <c r="K96" s="8">
        <v>0</v>
      </c>
      <c r="L96" s="8">
        <v>0</v>
      </c>
      <c r="M96" s="8">
        <v>1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</row>
    <row r="97" spans="1:21" x14ac:dyDescent="0.3">
      <c r="A97" s="6" t="str">
        <f>VLOOKUP(C97,'[1]MURATPAŞA BÖLGE'!$C:$H,6,0)</f>
        <v>GİZEM TOSUN</v>
      </c>
      <c r="B97" s="6" t="str">
        <f>VLOOKUP(C97,'[1]MURATPAŞA BÖLGE'!$C:$G,5,0)</f>
        <v>İSMET YILMAZ</v>
      </c>
      <c r="C97" s="6" t="s">
        <v>108</v>
      </c>
      <c r="D97" s="7">
        <f t="shared" si="1"/>
        <v>6</v>
      </c>
      <c r="E97" s="8">
        <v>0</v>
      </c>
      <c r="F97" s="8">
        <v>1</v>
      </c>
      <c r="G97" s="8">
        <v>1</v>
      </c>
      <c r="H97" s="8">
        <v>1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>
        <v>1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</row>
    <row r="98" spans="1:21" x14ac:dyDescent="0.3">
      <c r="A98" s="6" t="str">
        <f>VLOOKUP(C98,'[1]MURATPAŞA BÖLGE'!$C:$H,6,0)</f>
        <v>GİZEM TOSUN</v>
      </c>
      <c r="B98" s="6" t="str">
        <f>VLOOKUP(C98,'[1]MURATPAŞA BÖLGE'!$C:$G,5,0)</f>
        <v>İSMET YILMAZ</v>
      </c>
      <c r="C98" s="6" t="s">
        <v>89</v>
      </c>
      <c r="D98" s="7">
        <f t="shared" si="1"/>
        <v>2</v>
      </c>
      <c r="E98" s="8">
        <v>0</v>
      </c>
      <c r="F98" s="8">
        <v>1</v>
      </c>
      <c r="G98" s="8">
        <v>0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</row>
    <row r="99" spans="1:21" x14ac:dyDescent="0.3">
      <c r="A99" s="6" t="s">
        <v>85</v>
      </c>
      <c r="B99" s="6" t="s">
        <v>90</v>
      </c>
      <c r="C99" s="6" t="s">
        <v>91</v>
      </c>
      <c r="D99" s="7">
        <f t="shared" si="1"/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1</v>
      </c>
      <c r="R99" s="8">
        <v>0</v>
      </c>
      <c r="S99" s="8">
        <v>0</v>
      </c>
      <c r="T99" s="8">
        <v>0</v>
      </c>
      <c r="U99" s="8">
        <v>0</v>
      </c>
    </row>
    <row r="100" spans="1:21" x14ac:dyDescent="0.3">
      <c r="A100" s="6" t="str">
        <f>VLOOKUP(C100,'[1]MURATPAŞA BÖLGE'!$C:$H,6,0)</f>
        <v>GİZEM TOSUN</v>
      </c>
      <c r="B100" s="6" t="str">
        <f>VLOOKUP(C100,'[1]MURATPAŞA BÖLGE'!$C:$G,5,0)</f>
        <v>MEHMET KÜÇÜKOĞLU</v>
      </c>
      <c r="C100" s="6" t="s">
        <v>140</v>
      </c>
      <c r="D100" s="7">
        <f t="shared" si="1"/>
        <v>15</v>
      </c>
      <c r="E100" s="8">
        <v>1</v>
      </c>
      <c r="F100" s="8">
        <v>1</v>
      </c>
      <c r="G100" s="8">
        <v>1</v>
      </c>
      <c r="H100" s="8">
        <v>1</v>
      </c>
      <c r="I100" s="8">
        <v>3</v>
      </c>
      <c r="J100" s="8">
        <v>1</v>
      </c>
      <c r="K100" s="8">
        <v>1</v>
      </c>
      <c r="L100" s="8">
        <v>1</v>
      </c>
      <c r="M100" s="8">
        <v>1</v>
      </c>
      <c r="N100" s="8">
        <v>1</v>
      </c>
      <c r="O100" s="8">
        <v>1</v>
      </c>
      <c r="P100" s="8">
        <v>0</v>
      </c>
      <c r="Q100" s="8">
        <v>1</v>
      </c>
      <c r="R100" s="8">
        <v>0</v>
      </c>
      <c r="S100" s="8">
        <v>0</v>
      </c>
      <c r="T100" s="8">
        <v>0</v>
      </c>
      <c r="U100" s="8">
        <v>1</v>
      </c>
    </row>
    <row r="101" spans="1:21" x14ac:dyDescent="0.3">
      <c r="A101" s="6" t="str">
        <f>VLOOKUP(C101,'[1]MURATPAŞA BÖLGE'!$C:$H,6,0)</f>
        <v>GİZEM TOSUN</v>
      </c>
      <c r="B101" s="6" t="str">
        <f>VLOOKUP(C101,'[1]MURATPAŞA BÖLGE'!$C:$G,5,0)</f>
        <v>MEHMET KÜÇÜKOĞLU</v>
      </c>
      <c r="C101" s="6" t="s">
        <v>130</v>
      </c>
      <c r="D101" s="7">
        <f t="shared" si="1"/>
        <v>12</v>
      </c>
      <c r="E101" s="8">
        <v>0</v>
      </c>
      <c r="F101" s="8">
        <v>0</v>
      </c>
      <c r="G101" s="8">
        <v>1</v>
      </c>
      <c r="H101" s="8">
        <v>0</v>
      </c>
      <c r="I101" s="8">
        <v>4</v>
      </c>
      <c r="J101" s="8">
        <v>1</v>
      </c>
      <c r="K101" s="8">
        <v>0</v>
      </c>
      <c r="L101" s="8">
        <v>0</v>
      </c>
      <c r="M101" s="8">
        <v>2</v>
      </c>
      <c r="N101" s="8">
        <v>1</v>
      </c>
      <c r="O101" s="8">
        <v>1</v>
      </c>
      <c r="P101" s="8">
        <v>0</v>
      </c>
      <c r="Q101" s="8">
        <v>1</v>
      </c>
      <c r="R101" s="8">
        <v>0</v>
      </c>
      <c r="S101" s="8">
        <v>0</v>
      </c>
      <c r="T101" s="8">
        <v>0</v>
      </c>
      <c r="U101" s="8">
        <v>1</v>
      </c>
    </row>
    <row r="102" spans="1:21" x14ac:dyDescent="0.3">
      <c r="A102" s="6" t="str">
        <f>VLOOKUP(C102,'[1]MURATPAŞA BÖLGE'!$C:$H,6,0)</f>
        <v>GİZEM TOSUN</v>
      </c>
      <c r="B102" s="6" t="str">
        <f>VLOOKUP(C102,'[1]MURATPAŞA BÖLGE'!$C:$G,5,0)</f>
        <v>MEHMET KÜÇÜKOĞLU</v>
      </c>
      <c r="C102" s="6" t="s">
        <v>126</v>
      </c>
      <c r="D102" s="7">
        <f t="shared" si="1"/>
        <v>10</v>
      </c>
      <c r="E102" s="8">
        <v>0</v>
      </c>
      <c r="F102" s="8">
        <v>1</v>
      </c>
      <c r="G102" s="8">
        <v>2</v>
      </c>
      <c r="H102" s="8">
        <v>0</v>
      </c>
      <c r="I102" s="8">
        <v>4</v>
      </c>
      <c r="J102" s="8">
        <v>1</v>
      </c>
      <c r="K102" s="8">
        <v>0</v>
      </c>
      <c r="L102" s="8">
        <v>0</v>
      </c>
      <c r="M102" s="8">
        <v>0</v>
      </c>
      <c r="N102" s="8">
        <v>2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</row>
    <row r="103" spans="1:21" x14ac:dyDescent="0.3">
      <c r="A103" s="6" t="str">
        <f>VLOOKUP(C103,'[1]MURATPAŞA BÖLGE'!$C:$H,6,0)</f>
        <v>GİZEM TOSUN</v>
      </c>
      <c r="B103" s="6" t="str">
        <f>VLOOKUP(C103,'[1]MURATPAŞA BÖLGE'!$C:$G,5,0)</f>
        <v>MEHMET KÜÇÜKOĞLU</v>
      </c>
      <c r="C103" s="6" t="s">
        <v>122</v>
      </c>
      <c r="D103" s="7">
        <f t="shared" si="1"/>
        <v>9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8">
        <v>1</v>
      </c>
      <c r="K103" s="8">
        <v>0</v>
      </c>
      <c r="L103" s="8">
        <v>1</v>
      </c>
      <c r="M103" s="8">
        <v>1</v>
      </c>
      <c r="N103" s="8">
        <v>0</v>
      </c>
      <c r="O103" s="8">
        <v>0</v>
      </c>
      <c r="P103" s="8">
        <v>0</v>
      </c>
      <c r="Q103" s="8">
        <v>1</v>
      </c>
      <c r="R103" s="8">
        <v>0</v>
      </c>
      <c r="S103" s="8">
        <v>0</v>
      </c>
      <c r="T103" s="8">
        <v>0</v>
      </c>
      <c r="U103" s="8">
        <v>0</v>
      </c>
    </row>
    <row r="104" spans="1:21" x14ac:dyDescent="0.3">
      <c r="A104" s="6" t="s">
        <v>85</v>
      </c>
      <c r="B104" s="6" t="str">
        <f>VLOOKUP(C104,'[1]MURATPAŞA BÖLGE'!$C:$G,5,0)</f>
        <v>MEHMET KÜÇÜKOĞLU</v>
      </c>
      <c r="C104" s="6" t="s">
        <v>120</v>
      </c>
      <c r="D104" s="7">
        <f t="shared" si="1"/>
        <v>8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8">
        <v>0</v>
      </c>
      <c r="K104" s="8">
        <v>0</v>
      </c>
      <c r="L104" s="8">
        <v>1</v>
      </c>
      <c r="M104" s="8">
        <v>0</v>
      </c>
      <c r="N104" s="8">
        <v>1</v>
      </c>
      <c r="O104" s="8">
        <v>0</v>
      </c>
      <c r="P104" s="8">
        <v>0</v>
      </c>
      <c r="Q104" s="8">
        <v>1</v>
      </c>
      <c r="R104" s="8">
        <v>0</v>
      </c>
      <c r="S104" s="8">
        <v>0</v>
      </c>
      <c r="T104" s="8">
        <v>0</v>
      </c>
      <c r="U104" s="8">
        <v>0</v>
      </c>
    </row>
    <row r="105" spans="1:21" x14ac:dyDescent="0.3">
      <c r="A105" s="6" t="str">
        <f>VLOOKUP(C105,'[1]MURATPAŞA BÖLGE'!$C:$H,6,0)</f>
        <v>GİZEM TOSUN</v>
      </c>
      <c r="B105" s="6" t="str">
        <f>VLOOKUP(C105,'[1]MURATPAŞA BÖLGE'!$C:$G,5,0)</f>
        <v>MEHMET KÜÇÜKOĞLU</v>
      </c>
      <c r="C105" s="6" t="s">
        <v>111</v>
      </c>
      <c r="D105" s="7">
        <f t="shared" si="1"/>
        <v>6</v>
      </c>
      <c r="E105" s="8">
        <v>0</v>
      </c>
      <c r="F105" s="8">
        <v>1</v>
      </c>
      <c r="G105" s="8">
        <v>0</v>
      </c>
      <c r="H105" s="8">
        <v>1</v>
      </c>
      <c r="I105" s="8">
        <v>3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1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</row>
    <row r="106" spans="1:21" x14ac:dyDescent="0.3">
      <c r="A106" s="6" t="str">
        <f>VLOOKUP(C106,'[1]MURATPAŞA BÖLGE'!$C:$H,6,0)</f>
        <v>GİZEM TOSUN</v>
      </c>
      <c r="B106" s="6" t="str">
        <f>VLOOKUP(C106,'[1]MURATPAŞA BÖLGE'!$C:$G,5,0)</f>
        <v>MEHMET KÜÇÜKOĞLU</v>
      </c>
      <c r="C106" s="6" t="s">
        <v>99</v>
      </c>
      <c r="D106" s="7">
        <f t="shared" si="1"/>
        <v>4</v>
      </c>
      <c r="E106" s="8">
        <v>0</v>
      </c>
      <c r="F106" s="8">
        <v>1</v>
      </c>
      <c r="G106" s="8">
        <v>0</v>
      </c>
      <c r="H106" s="8">
        <v>0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1</v>
      </c>
      <c r="P106" s="8">
        <v>1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</row>
    <row r="107" spans="1:21" x14ac:dyDescent="0.3">
      <c r="A107" s="6" t="str">
        <f>VLOOKUP(C107,'[1]MURATPAŞA BÖLGE'!$C:$H,6,0)</f>
        <v>GİZEM TOSUN</v>
      </c>
      <c r="B107" s="6" t="str">
        <f>VLOOKUP(C107,'[1]MURATPAŞA BÖLGE'!$C:$G,5,0)</f>
        <v>MEHMET KÜÇÜKOĞLU</v>
      </c>
      <c r="C107" s="6" t="s">
        <v>100</v>
      </c>
      <c r="D107" s="7">
        <f t="shared" si="1"/>
        <v>4</v>
      </c>
      <c r="E107" s="8">
        <v>0</v>
      </c>
      <c r="F107" s="8">
        <v>2</v>
      </c>
      <c r="G107" s="8">
        <v>0</v>
      </c>
      <c r="H107" s="8">
        <v>0</v>
      </c>
      <c r="I107" s="8">
        <v>2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</row>
    <row r="108" spans="1:21" x14ac:dyDescent="0.3">
      <c r="A108" s="6" t="str">
        <f>VLOOKUP(C108,'[1]MURATPAŞA BÖLGE'!$C:$H,6,0)</f>
        <v>GİZEM TOSUN</v>
      </c>
      <c r="B108" s="6" t="str">
        <f>VLOOKUP(C108,'[1]MURATPAŞA BÖLGE'!$C:$G,5,0)</f>
        <v>MUHAMMED BAŞARAN</v>
      </c>
      <c r="C108" s="6" t="s">
        <v>141</v>
      </c>
      <c r="D108" s="7">
        <f t="shared" si="1"/>
        <v>17</v>
      </c>
      <c r="E108" s="8">
        <v>2</v>
      </c>
      <c r="F108" s="8">
        <v>1</v>
      </c>
      <c r="G108" s="8">
        <v>0</v>
      </c>
      <c r="H108" s="8">
        <v>0</v>
      </c>
      <c r="I108" s="8">
        <v>3</v>
      </c>
      <c r="J108" s="8">
        <v>1</v>
      </c>
      <c r="K108" s="8">
        <v>0</v>
      </c>
      <c r="L108" s="8">
        <v>1</v>
      </c>
      <c r="M108" s="8">
        <v>1</v>
      </c>
      <c r="N108" s="8">
        <v>3</v>
      </c>
      <c r="O108" s="8">
        <v>2</v>
      </c>
      <c r="P108" s="8">
        <v>1</v>
      </c>
      <c r="Q108" s="8">
        <v>0</v>
      </c>
      <c r="R108" s="8">
        <v>0</v>
      </c>
      <c r="S108" s="8">
        <v>0</v>
      </c>
      <c r="T108" s="8">
        <v>0</v>
      </c>
      <c r="U108" s="8">
        <v>2</v>
      </c>
    </row>
    <row r="109" spans="1:21" x14ac:dyDescent="0.3">
      <c r="A109" s="6" t="str">
        <f>VLOOKUP(C109,'[1]MURATPAŞA BÖLGE'!$C:$H,6,0)</f>
        <v>GİZEM TOSUN</v>
      </c>
      <c r="B109" s="6" t="str">
        <f>VLOOKUP(C109,'[1]MURATPAŞA BÖLGE'!$C:$G,5,0)</f>
        <v>MUHAMMED BAŞARAN</v>
      </c>
      <c r="C109" s="6" t="s">
        <v>137</v>
      </c>
      <c r="D109" s="7">
        <f t="shared" si="1"/>
        <v>15</v>
      </c>
      <c r="E109" s="8">
        <v>2</v>
      </c>
      <c r="F109" s="8">
        <v>1</v>
      </c>
      <c r="G109" s="8">
        <v>0</v>
      </c>
      <c r="H109" s="8">
        <v>1</v>
      </c>
      <c r="I109" s="8">
        <v>3</v>
      </c>
      <c r="J109" s="8">
        <v>0</v>
      </c>
      <c r="K109" s="8">
        <v>0</v>
      </c>
      <c r="L109" s="8">
        <v>1</v>
      </c>
      <c r="M109" s="8">
        <v>2</v>
      </c>
      <c r="N109" s="8">
        <v>1</v>
      </c>
      <c r="O109" s="8">
        <v>1</v>
      </c>
      <c r="P109" s="8">
        <v>1</v>
      </c>
      <c r="Q109" s="8">
        <v>1</v>
      </c>
      <c r="R109" s="8">
        <v>0</v>
      </c>
      <c r="S109" s="8">
        <v>0</v>
      </c>
      <c r="T109" s="8">
        <v>0</v>
      </c>
      <c r="U109" s="8">
        <v>1</v>
      </c>
    </row>
    <row r="110" spans="1:21" x14ac:dyDescent="0.3">
      <c r="A110" s="6" t="str">
        <f>VLOOKUP(C110,'[1]MURATPAŞA BÖLGE'!$C:$H,6,0)</f>
        <v>GİZEM TOSUN</v>
      </c>
      <c r="B110" s="6" t="str">
        <f>VLOOKUP(C110,'[1]MURATPAŞA BÖLGE'!$C:$G,5,0)</f>
        <v>MUHAMMED BAŞARAN</v>
      </c>
      <c r="C110" s="6" t="s">
        <v>131</v>
      </c>
      <c r="D110" s="7">
        <f t="shared" si="1"/>
        <v>13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8">
        <v>1</v>
      </c>
      <c r="K110" s="8">
        <v>0</v>
      </c>
      <c r="L110" s="8">
        <v>1</v>
      </c>
      <c r="M110" s="8">
        <v>1</v>
      </c>
      <c r="N110" s="8">
        <v>1</v>
      </c>
      <c r="O110" s="8">
        <v>1</v>
      </c>
      <c r="P110" s="8">
        <v>1</v>
      </c>
      <c r="Q110" s="8">
        <v>1</v>
      </c>
      <c r="R110" s="8">
        <v>0</v>
      </c>
      <c r="S110" s="8">
        <v>0</v>
      </c>
      <c r="T110" s="8">
        <v>0</v>
      </c>
      <c r="U110" s="8">
        <v>1</v>
      </c>
    </row>
    <row r="111" spans="1:21" x14ac:dyDescent="0.3">
      <c r="A111" s="6" t="str">
        <f>VLOOKUP(C111,'[1]MURATPAŞA BÖLGE'!$C:$H,6,0)</f>
        <v>GİZEM TOSUN</v>
      </c>
      <c r="B111" s="6" t="str">
        <f>VLOOKUP(C111,'[1]MURATPAŞA BÖLGE'!$C:$G,5,0)</f>
        <v>MUHAMMED BAŞARAN</v>
      </c>
      <c r="C111" s="6" t="s">
        <v>132</v>
      </c>
      <c r="D111" s="7">
        <f t="shared" si="1"/>
        <v>13</v>
      </c>
      <c r="E111" s="8">
        <v>1</v>
      </c>
      <c r="F111" s="8">
        <v>0</v>
      </c>
      <c r="G111" s="8">
        <v>1</v>
      </c>
      <c r="H111" s="8">
        <v>1</v>
      </c>
      <c r="I111" s="8">
        <v>4</v>
      </c>
      <c r="J111" s="8">
        <v>0</v>
      </c>
      <c r="K111" s="8">
        <v>0</v>
      </c>
      <c r="L111" s="8">
        <v>0</v>
      </c>
      <c r="M111" s="8">
        <v>2</v>
      </c>
      <c r="N111" s="8">
        <v>1</v>
      </c>
      <c r="O111" s="8">
        <v>1</v>
      </c>
      <c r="P111" s="8">
        <v>0</v>
      </c>
      <c r="Q111" s="8">
        <v>1</v>
      </c>
      <c r="R111" s="8">
        <v>0</v>
      </c>
      <c r="S111" s="8">
        <v>0</v>
      </c>
      <c r="T111" s="8">
        <v>0</v>
      </c>
      <c r="U111" s="8">
        <v>1</v>
      </c>
    </row>
    <row r="112" spans="1:21" x14ac:dyDescent="0.3">
      <c r="A112" s="6" t="str">
        <f>VLOOKUP(C112,'[1]MURATPAŞA BÖLGE'!$C:$H,6,0)</f>
        <v>GİZEM TOSUN</v>
      </c>
      <c r="B112" s="6" t="str">
        <f>VLOOKUP(C112,'[1]MURATPAŞA BÖLGE'!$C:$G,5,0)</f>
        <v>MUHAMMED BAŞARAN</v>
      </c>
      <c r="C112" s="6" t="s">
        <v>114</v>
      </c>
      <c r="D112" s="7">
        <f t="shared" si="1"/>
        <v>8</v>
      </c>
      <c r="E112" s="8">
        <v>0</v>
      </c>
      <c r="F112" s="8">
        <v>1</v>
      </c>
      <c r="G112" s="8">
        <v>1</v>
      </c>
      <c r="H112" s="8">
        <v>1</v>
      </c>
      <c r="I112" s="8">
        <v>2</v>
      </c>
      <c r="J112" s="8">
        <v>1</v>
      </c>
      <c r="K112" s="8">
        <v>0</v>
      </c>
      <c r="L112" s="8">
        <v>0</v>
      </c>
      <c r="M112" s="8">
        <v>2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</row>
    <row r="113" spans="1:21" x14ac:dyDescent="0.3">
      <c r="A113" s="6" t="str">
        <f>VLOOKUP(C113,'[1]MURATPAŞA BÖLGE'!$C:$H,6,0)</f>
        <v>GİZEM TOSUN</v>
      </c>
      <c r="B113" s="6" t="str">
        <f>VLOOKUP(C113,'[1]MURATPAŞA BÖLGE'!$C:$G,5,0)</f>
        <v>MUHAMMED BAŞARAN</v>
      </c>
      <c r="C113" s="6" t="s">
        <v>115</v>
      </c>
      <c r="D113" s="7">
        <f t="shared" si="1"/>
        <v>8</v>
      </c>
      <c r="E113" s="8">
        <v>0</v>
      </c>
      <c r="F113" s="8">
        <v>1</v>
      </c>
      <c r="G113" s="8">
        <v>1</v>
      </c>
      <c r="H113" s="8">
        <v>1</v>
      </c>
      <c r="I113" s="8">
        <v>2</v>
      </c>
      <c r="J113" s="8">
        <v>0</v>
      </c>
      <c r="K113" s="8">
        <v>0</v>
      </c>
      <c r="L113" s="8">
        <v>1</v>
      </c>
      <c r="M113" s="8">
        <v>1</v>
      </c>
      <c r="N113" s="8">
        <v>0</v>
      </c>
      <c r="O113" s="8">
        <v>1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</row>
    <row r="114" spans="1:21" x14ac:dyDescent="0.3">
      <c r="A114" s="6" t="str">
        <f>VLOOKUP(C114,'[1]MURATPAŞA BÖLGE'!$C:$H,6,0)</f>
        <v>GİZEM TOSUN</v>
      </c>
      <c r="B114" s="6" t="str">
        <f>VLOOKUP(C114,'[1]MURATPAŞA BÖLGE'!$C:$G,5,0)</f>
        <v>MUHAMMED BAŞARAN</v>
      </c>
      <c r="C114" s="6" t="s">
        <v>95</v>
      </c>
      <c r="D114" s="7">
        <f t="shared" si="1"/>
        <v>7</v>
      </c>
      <c r="E114" s="8">
        <v>2</v>
      </c>
      <c r="F114" s="8">
        <v>0</v>
      </c>
      <c r="G114" s="8">
        <v>2</v>
      </c>
      <c r="H114" s="8">
        <v>0</v>
      </c>
      <c r="I114" s="8">
        <v>3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</row>
    <row r="115" spans="1:21" x14ac:dyDescent="0.3">
      <c r="A115" s="6" t="str">
        <f>VLOOKUP(C115,'[1]MURATPAŞA BÖLGE'!$C:$H,6,0)</f>
        <v>GİZEM TOSUN</v>
      </c>
      <c r="B115" s="6" t="str">
        <f>VLOOKUP(C115,'[1]MURATPAŞA BÖLGE'!$C:$G,5,0)</f>
        <v>MUHAMMED BAŞARAN</v>
      </c>
      <c r="C115" s="6" t="s">
        <v>116</v>
      </c>
      <c r="D115" s="7">
        <f t="shared" si="1"/>
        <v>4</v>
      </c>
      <c r="E115" s="8">
        <v>0</v>
      </c>
      <c r="F115" s="8">
        <v>0</v>
      </c>
      <c r="G115" s="8">
        <v>1</v>
      </c>
      <c r="H115" s="8">
        <v>0</v>
      </c>
      <c r="I115" s="8">
        <v>2</v>
      </c>
      <c r="J115" s="8">
        <v>0</v>
      </c>
      <c r="K115" s="8">
        <v>0</v>
      </c>
      <c r="L115" s="8">
        <v>0</v>
      </c>
      <c r="M115" s="8">
        <v>1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</row>
    <row r="116" spans="1:21" x14ac:dyDescent="0.3">
      <c r="A116" s="6" t="s">
        <v>202</v>
      </c>
      <c r="B116" s="6" t="s">
        <v>220</v>
      </c>
      <c r="C116" s="6" t="s">
        <v>225</v>
      </c>
      <c r="D116" s="7">
        <f t="shared" si="1"/>
        <v>23</v>
      </c>
      <c r="E116" s="8">
        <v>2</v>
      </c>
      <c r="F116" s="8">
        <v>1</v>
      </c>
      <c r="G116" s="8">
        <v>2</v>
      </c>
      <c r="H116" s="8">
        <v>2</v>
      </c>
      <c r="I116" s="8">
        <v>3</v>
      </c>
      <c r="J116" s="8">
        <v>2</v>
      </c>
      <c r="K116" s="8">
        <v>0</v>
      </c>
      <c r="L116" s="8">
        <v>1</v>
      </c>
      <c r="M116" s="8">
        <v>4</v>
      </c>
      <c r="N116" s="8">
        <v>1</v>
      </c>
      <c r="O116" s="8">
        <v>2</v>
      </c>
      <c r="P116" s="8">
        <v>1</v>
      </c>
      <c r="Q116" s="8">
        <v>0</v>
      </c>
      <c r="R116" s="8">
        <v>0</v>
      </c>
      <c r="S116" s="8">
        <v>0</v>
      </c>
      <c r="T116" s="8">
        <v>0</v>
      </c>
      <c r="U116" s="8">
        <v>2</v>
      </c>
    </row>
    <row r="117" spans="1:21" x14ac:dyDescent="0.3">
      <c r="A117" s="6" t="s">
        <v>202</v>
      </c>
      <c r="B117" s="6" t="s">
        <v>247</v>
      </c>
      <c r="C117" s="6" t="s">
        <v>248</v>
      </c>
      <c r="D117" s="7">
        <f t="shared" si="1"/>
        <v>23</v>
      </c>
      <c r="E117" s="8">
        <v>2</v>
      </c>
      <c r="F117" s="8">
        <v>1</v>
      </c>
      <c r="G117" s="8">
        <v>2</v>
      </c>
      <c r="H117" s="8">
        <v>2</v>
      </c>
      <c r="I117" s="8">
        <v>8</v>
      </c>
      <c r="J117" s="8">
        <v>1</v>
      </c>
      <c r="K117" s="8">
        <v>1</v>
      </c>
      <c r="L117" s="8">
        <v>1</v>
      </c>
      <c r="M117" s="8">
        <v>1</v>
      </c>
      <c r="N117" s="8">
        <v>1</v>
      </c>
      <c r="O117" s="8">
        <v>1</v>
      </c>
      <c r="P117" s="8">
        <v>1</v>
      </c>
      <c r="Q117" s="8">
        <v>1</v>
      </c>
      <c r="R117" s="8">
        <v>0</v>
      </c>
      <c r="S117" s="8">
        <v>0</v>
      </c>
      <c r="T117" s="8">
        <v>0</v>
      </c>
      <c r="U117" s="8">
        <v>0</v>
      </c>
    </row>
    <row r="118" spans="1:21" x14ac:dyDescent="0.3">
      <c r="A118" s="6" t="s">
        <v>202</v>
      </c>
      <c r="B118" s="6" t="s">
        <v>247</v>
      </c>
      <c r="C118" s="6" t="s">
        <v>252</v>
      </c>
      <c r="D118" s="7">
        <f t="shared" si="1"/>
        <v>23</v>
      </c>
      <c r="E118" s="8">
        <v>2</v>
      </c>
      <c r="F118" s="8">
        <v>1</v>
      </c>
      <c r="G118" s="8">
        <v>2</v>
      </c>
      <c r="H118" s="8">
        <v>2</v>
      </c>
      <c r="I118" s="8">
        <v>8</v>
      </c>
      <c r="J118" s="8">
        <v>1</v>
      </c>
      <c r="K118" s="8">
        <v>1</v>
      </c>
      <c r="L118" s="8">
        <v>1</v>
      </c>
      <c r="M118" s="8">
        <v>1</v>
      </c>
      <c r="N118" s="8">
        <v>1</v>
      </c>
      <c r="O118" s="8">
        <v>1</v>
      </c>
      <c r="P118" s="8">
        <v>1</v>
      </c>
      <c r="Q118" s="8">
        <v>1</v>
      </c>
      <c r="R118" s="8">
        <v>0</v>
      </c>
      <c r="S118" s="8">
        <v>0</v>
      </c>
      <c r="T118" s="8">
        <v>0</v>
      </c>
      <c r="U118" s="8">
        <v>0</v>
      </c>
    </row>
    <row r="119" spans="1:21" x14ac:dyDescent="0.3">
      <c r="A119" s="6" t="s">
        <v>202</v>
      </c>
      <c r="B119" s="6" t="s">
        <v>220</v>
      </c>
      <c r="C119" s="6" t="s">
        <v>228</v>
      </c>
      <c r="D119" s="7">
        <f t="shared" si="1"/>
        <v>22</v>
      </c>
      <c r="E119" s="8">
        <v>2</v>
      </c>
      <c r="F119" s="8">
        <v>2</v>
      </c>
      <c r="G119" s="8">
        <v>1</v>
      </c>
      <c r="H119" s="8">
        <v>2</v>
      </c>
      <c r="I119" s="8">
        <v>5</v>
      </c>
      <c r="J119" s="8">
        <v>1</v>
      </c>
      <c r="K119" s="8">
        <v>1</v>
      </c>
      <c r="L119" s="8">
        <v>1</v>
      </c>
      <c r="M119" s="8">
        <v>3</v>
      </c>
      <c r="N119" s="8">
        <v>2</v>
      </c>
      <c r="O119" s="8">
        <v>1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</row>
    <row r="120" spans="1:21" x14ac:dyDescent="0.3">
      <c r="A120" s="6" t="s">
        <v>202</v>
      </c>
      <c r="B120" s="6" t="s">
        <v>229</v>
      </c>
      <c r="C120" s="6" t="s">
        <v>237</v>
      </c>
      <c r="D120" s="7">
        <f t="shared" si="1"/>
        <v>22</v>
      </c>
      <c r="E120" s="8">
        <v>2</v>
      </c>
      <c r="F120" s="8">
        <v>1</v>
      </c>
      <c r="G120" s="8">
        <v>4</v>
      </c>
      <c r="H120" s="8">
        <v>1</v>
      </c>
      <c r="I120" s="8">
        <v>6</v>
      </c>
      <c r="J120" s="8">
        <v>1</v>
      </c>
      <c r="K120" s="8">
        <v>0</v>
      </c>
      <c r="L120" s="8">
        <v>1</v>
      </c>
      <c r="M120" s="8">
        <v>3</v>
      </c>
      <c r="N120" s="8">
        <v>1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1</v>
      </c>
      <c r="U120" s="8">
        <v>0</v>
      </c>
    </row>
    <row r="121" spans="1:21" x14ac:dyDescent="0.3">
      <c r="A121" s="6" t="s">
        <v>202</v>
      </c>
      <c r="B121" s="6" t="s">
        <v>220</v>
      </c>
      <c r="C121" s="6" t="s">
        <v>223</v>
      </c>
      <c r="D121" s="7">
        <f t="shared" si="1"/>
        <v>20</v>
      </c>
      <c r="E121" s="8">
        <v>2</v>
      </c>
      <c r="F121" s="8">
        <v>1</v>
      </c>
      <c r="G121" s="8">
        <v>2</v>
      </c>
      <c r="H121" s="8">
        <v>2</v>
      </c>
      <c r="I121" s="8">
        <v>3</v>
      </c>
      <c r="J121" s="8">
        <v>0</v>
      </c>
      <c r="K121" s="8">
        <v>1</v>
      </c>
      <c r="L121" s="8">
        <v>1</v>
      </c>
      <c r="M121" s="8">
        <v>2</v>
      </c>
      <c r="N121" s="8">
        <v>1</v>
      </c>
      <c r="O121" s="8">
        <v>2</v>
      </c>
      <c r="P121" s="8">
        <v>2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</row>
    <row r="122" spans="1:21" x14ac:dyDescent="0.3">
      <c r="A122" s="6" t="s">
        <v>202</v>
      </c>
      <c r="B122" s="6" t="s">
        <v>220</v>
      </c>
      <c r="C122" s="6" t="s">
        <v>226</v>
      </c>
      <c r="D122" s="7">
        <f t="shared" si="1"/>
        <v>20</v>
      </c>
      <c r="E122" s="8">
        <v>2</v>
      </c>
      <c r="F122" s="8">
        <v>1</v>
      </c>
      <c r="G122" s="8">
        <v>2</v>
      </c>
      <c r="H122" s="8">
        <v>1</v>
      </c>
      <c r="I122" s="8">
        <v>8</v>
      </c>
      <c r="J122" s="8">
        <v>1</v>
      </c>
      <c r="K122" s="8">
        <v>1</v>
      </c>
      <c r="L122" s="8">
        <v>1</v>
      </c>
      <c r="M122" s="8">
        <v>1</v>
      </c>
      <c r="N122" s="8">
        <v>1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</row>
    <row r="123" spans="1:21" x14ac:dyDescent="0.3">
      <c r="A123" s="6" t="s">
        <v>202</v>
      </c>
      <c r="B123" s="6" t="s">
        <v>247</v>
      </c>
      <c r="C123" s="6" t="s">
        <v>251</v>
      </c>
      <c r="D123" s="7">
        <f t="shared" si="1"/>
        <v>18</v>
      </c>
      <c r="E123" s="8">
        <v>2</v>
      </c>
      <c r="F123" s="8">
        <v>1</v>
      </c>
      <c r="G123" s="8">
        <v>1</v>
      </c>
      <c r="H123" s="8">
        <v>1</v>
      </c>
      <c r="I123" s="8">
        <v>5</v>
      </c>
      <c r="J123" s="8">
        <v>1</v>
      </c>
      <c r="K123" s="8">
        <v>1</v>
      </c>
      <c r="L123" s="8">
        <v>1</v>
      </c>
      <c r="M123" s="8">
        <v>1</v>
      </c>
      <c r="N123" s="8">
        <v>1</v>
      </c>
      <c r="O123" s="8">
        <v>1</v>
      </c>
      <c r="P123" s="8">
        <v>1</v>
      </c>
      <c r="Q123" s="8">
        <v>1</v>
      </c>
      <c r="R123" s="8">
        <v>0</v>
      </c>
      <c r="S123" s="8">
        <v>0</v>
      </c>
      <c r="T123" s="8">
        <v>0</v>
      </c>
      <c r="U123" s="8">
        <v>0</v>
      </c>
    </row>
    <row r="124" spans="1:21" x14ac:dyDescent="0.3">
      <c r="A124" s="6" t="s">
        <v>202</v>
      </c>
      <c r="B124" s="6" t="s">
        <v>247</v>
      </c>
      <c r="C124" s="6" t="s">
        <v>255</v>
      </c>
      <c r="D124" s="7">
        <f t="shared" si="1"/>
        <v>18</v>
      </c>
      <c r="E124" s="8">
        <v>2</v>
      </c>
      <c r="F124" s="8">
        <v>1</v>
      </c>
      <c r="G124" s="8">
        <v>1</v>
      </c>
      <c r="H124" s="8">
        <v>1</v>
      </c>
      <c r="I124" s="8">
        <v>5</v>
      </c>
      <c r="J124" s="8">
        <v>1</v>
      </c>
      <c r="K124" s="8">
        <v>1</v>
      </c>
      <c r="L124" s="8">
        <v>1</v>
      </c>
      <c r="M124" s="8">
        <v>1</v>
      </c>
      <c r="N124" s="8">
        <v>1</v>
      </c>
      <c r="O124" s="8">
        <v>1</v>
      </c>
      <c r="P124" s="8">
        <v>1</v>
      </c>
      <c r="Q124" s="8">
        <v>1</v>
      </c>
      <c r="R124" s="8">
        <v>0</v>
      </c>
      <c r="S124" s="8">
        <v>0</v>
      </c>
      <c r="T124" s="8">
        <v>0</v>
      </c>
      <c r="U124" s="8">
        <v>0</v>
      </c>
    </row>
    <row r="125" spans="1:21" x14ac:dyDescent="0.3">
      <c r="A125" s="6" t="s">
        <v>202</v>
      </c>
      <c r="B125" s="6" t="s">
        <v>229</v>
      </c>
      <c r="C125" s="6" t="s">
        <v>231</v>
      </c>
      <c r="D125" s="7">
        <f t="shared" si="1"/>
        <v>17</v>
      </c>
      <c r="E125" s="8">
        <v>2</v>
      </c>
      <c r="F125" s="8">
        <v>1</v>
      </c>
      <c r="G125" s="8">
        <v>2</v>
      </c>
      <c r="H125" s="8">
        <v>1</v>
      </c>
      <c r="I125" s="8">
        <v>2</v>
      </c>
      <c r="J125" s="8">
        <v>1</v>
      </c>
      <c r="K125" s="8">
        <v>1</v>
      </c>
      <c r="L125" s="8">
        <v>1</v>
      </c>
      <c r="M125" s="8">
        <v>1</v>
      </c>
      <c r="N125" s="8">
        <v>1</v>
      </c>
      <c r="O125" s="8">
        <v>2</v>
      </c>
      <c r="P125" s="8">
        <v>1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</row>
    <row r="126" spans="1:21" x14ac:dyDescent="0.3">
      <c r="A126" s="6" t="s">
        <v>202</v>
      </c>
      <c r="B126" s="6" t="s">
        <v>229</v>
      </c>
      <c r="C126" s="6" t="s">
        <v>233</v>
      </c>
      <c r="D126" s="7">
        <f t="shared" si="1"/>
        <v>17</v>
      </c>
      <c r="E126" s="8">
        <v>2</v>
      </c>
      <c r="F126" s="8">
        <v>1</v>
      </c>
      <c r="G126" s="8">
        <v>2</v>
      </c>
      <c r="H126" s="8">
        <v>1</v>
      </c>
      <c r="I126" s="8">
        <v>2</v>
      </c>
      <c r="J126" s="8">
        <v>0</v>
      </c>
      <c r="K126" s="8">
        <v>1</v>
      </c>
      <c r="L126" s="8">
        <v>1</v>
      </c>
      <c r="M126" s="8">
        <v>1</v>
      </c>
      <c r="N126" s="8">
        <v>1</v>
      </c>
      <c r="O126" s="8">
        <v>1</v>
      </c>
      <c r="P126" s="8">
        <v>1</v>
      </c>
      <c r="Q126" s="8">
        <v>0</v>
      </c>
      <c r="R126" s="8">
        <v>0</v>
      </c>
      <c r="S126" s="8">
        <v>1</v>
      </c>
      <c r="T126" s="8">
        <v>1</v>
      </c>
      <c r="U126" s="8">
        <v>1</v>
      </c>
    </row>
    <row r="127" spans="1:21" x14ac:dyDescent="0.3">
      <c r="A127" s="6" t="s">
        <v>202</v>
      </c>
      <c r="B127" s="6" t="s">
        <v>220</v>
      </c>
      <c r="C127" s="6" t="s">
        <v>221</v>
      </c>
      <c r="D127" s="7">
        <f t="shared" si="1"/>
        <v>15</v>
      </c>
      <c r="E127" s="8">
        <v>0</v>
      </c>
      <c r="F127" s="8">
        <v>1</v>
      </c>
      <c r="G127" s="8">
        <v>2</v>
      </c>
      <c r="H127" s="8">
        <v>2</v>
      </c>
      <c r="I127" s="8">
        <v>2</v>
      </c>
      <c r="J127" s="8">
        <v>1</v>
      </c>
      <c r="K127" s="8">
        <v>1</v>
      </c>
      <c r="L127" s="8">
        <v>1</v>
      </c>
      <c r="M127" s="8">
        <v>1</v>
      </c>
      <c r="N127" s="8">
        <v>1</v>
      </c>
      <c r="O127" s="8">
        <v>1</v>
      </c>
      <c r="P127" s="8">
        <v>1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</row>
    <row r="128" spans="1:21" x14ac:dyDescent="0.3">
      <c r="A128" s="6" t="s">
        <v>202</v>
      </c>
      <c r="B128" s="6" t="s">
        <v>220</v>
      </c>
      <c r="C128" s="6" t="s">
        <v>222</v>
      </c>
      <c r="D128" s="7">
        <f t="shared" si="1"/>
        <v>14</v>
      </c>
      <c r="E128" s="8">
        <v>1</v>
      </c>
      <c r="F128" s="8">
        <v>1</v>
      </c>
      <c r="G128" s="8">
        <v>1</v>
      </c>
      <c r="H128" s="8">
        <v>1</v>
      </c>
      <c r="I128" s="8">
        <v>2</v>
      </c>
      <c r="J128" s="8">
        <v>1</v>
      </c>
      <c r="K128" s="8">
        <v>1</v>
      </c>
      <c r="L128" s="8">
        <v>1</v>
      </c>
      <c r="M128" s="8">
        <v>1</v>
      </c>
      <c r="N128" s="8">
        <v>1</v>
      </c>
      <c r="O128" s="8">
        <v>1</v>
      </c>
      <c r="P128" s="8">
        <v>1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</row>
    <row r="129" spans="1:21" x14ac:dyDescent="0.3">
      <c r="A129" s="6" t="s">
        <v>202</v>
      </c>
      <c r="B129" s="6" t="s">
        <v>229</v>
      </c>
      <c r="C129" s="6" t="s">
        <v>235</v>
      </c>
      <c r="D129" s="7">
        <f t="shared" si="1"/>
        <v>14</v>
      </c>
      <c r="E129" s="8">
        <v>2</v>
      </c>
      <c r="F129" s="8">
        <v>1</v>
      </c>
      <c r="G129" s="8">
        <v>1</v>
      </c>
      <c r="H129" s="8">
        <v>1</v>
      </c>
      <c r="I129" s="8">
        <v>3</v>
      </c>
      <c r="J129" s="8">
        <v>0</v>
      </c>
      <c r="K129" s="8">
        <v>0</v>
      </c>
      <c r="L129" s="8">
        <v>1</v>
      </c>
      <c r="M129" s="8">
        <v>2</v>
      </c>
      <c r="N129" s="8">
        <v>1</v>
      </c>
      <c r="O129" s="8">
        <v>1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</row>
    <row r="130" spans="1:21" x14ac:dyDescent="0.3">
      <c r="A130" s="6" t="s">
        <v>202</v>
      </c>
      <c r="B130" s="6" t="s">
        <v>247</v>
      </c>
      <c r="C130" s="6" t="s">
        <v>254</v>
      </c>
      <c r="D130" s="7">
        <f t="shared" ref="D130:D193" si="2">SUBTOTAL(9,E130:U130)</f>
        <v>14</v>
      </c>
      <c r="E130" s="8">
        <v>2</v>
      </c>
      <c r="F130" s="8">
        <v>1</v>
      </c>
      <c r="G130" s="8">
        <v>1</v>
      </c>
      <c r="H130" s="8">
        <v>1</v>
      </c>
      <c r="I130" s="8">
        <v>2</v>
      </c>
      <c r="J130" s="8">
        <v>1</v>
      </c>
      <c r="K130" s="8">
        <v>0</v>
      </c>
      <c r="L130" s="8">
        <v>1</v>
      </c>
      <c r="M130" s="8">
        <v>1</v>
      </c>
      <c r="N130" s="8">
        <v>0</v>
      </c>
      <c r="O130" s="8">
        <v>0</v>
      </c>
      <c r="P130" s="8">
        <v>1</v>
      </c>
      <c r="Q130" s="8">
        <v>1</v>
      </c>
      <c r="R130" s="8">
        <v>0</v>
      </c>
      <c r="S130" s="8">
        <v>0</v>
      </c>
      <c r="T130" s="8">
        <v>1</v>
      </c>
      <c r="U130" s="8">
        <v>1</v>
      </c>
    </row>
    <row r="131" spans="1:21" x14ac:dyDescent="0.3">
      <c r="A131" s="6" t="s">
        <v>202</v>
      </c>
      <c r="B131" s="6" t="s">
        <v>238</v>
      </c>
      <c r="C131" s="6" t="s">
        <v>240</v>
      </c>
      <c r="D131" s="7">
        <f t="shared" si="2"/>
        <v>13</v>
      </c>
      <c r="E131" s="8">
        <v>1</v>
      </c>
      <c r="F131" s="8">
        <v>1</v>
      </c>
      <c r="G131" s="8">
        <v>2</v>
      </c>
      <c r="H131" s="8">
        <v>0</v>
      </c>
      <c r="I131" s="8">
        <v>3</v>
      </c>
      <c r="J131" s="8">
        <v>0</v>
      </c>
      <c r="K131" s="8">
        <v>1</v>
      </c>
      <c r="L131" s="8">
        <v>1</v>
      </c>
      <c r="M131" s="8">
        <v>1</v>
      </c>
      <c r="N131" s="8">
        <v>1</v>
      </c>
      <c r="O131" s="8">
        <v>1</v>
      </c>
      <c r="P131" s="8">
        <v>1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</row>
    <row r="132" spans="1:21" x14ac:dyDescent="0.3">
      <c r="A132" s="6" t="s">
        <v>202</v>
      </c>
      <c r="B132" s="6" t="s">
        <v>203</v>
      </c>
      <c r="C132" s="6" t="s">
        <v>210</v>
      </c>
      <c r="D132" s="7">
        <f t="shared" si="2"/>
        <v>12</v>
      </c>
      <c r="E132" s="8">
        <v>1</v>
      </c>
      <c r="F132" s="8">
        <v>1</v>
      </c>
      <c r="G132" s="8">
        <v>1</v>
      </c>
      <c r="H132" s="8">
        <v>1</v>
      </c>
      <c r="I132" s="8">
        <v>4</v>
      </c>
      <c r="J132" s="8">
        <v>2</v>
      </c>
      <c r="K132" s="8">
        <v>0</v>
      </c>
      <c r="L132" s="8">
        <v>0</v>
      </c>
      <c r="M132" s="8">
        <v>0</v>
      </c>
      <c r="N132" s="8">
        <v>0</v>
      </c>
      <c r="O132" s="8">
        <v>1</v>
      </c>
      <c r="P132" s="8">
        <v>1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</row>
    <row r="133" spans="1:21" x14ac:dyDescent="0.3">
      <c r="A133" s="6" t="s">
        <v>202</v>
      </c>
      <c r="B133" s="6" t="s">
        <v>229</v>
      </c>
      <c r="C133" s="6" t="s">
        <v>230</v>
      </c>
      <c r="D133" s="7">
        <f t="shared" si="2"/>
        <v>12</v>
      </c>
      <c r="E133" s="8">
        <v>1</v>
      </c>
      <c r="F133" s="8">
        <v>1</v>
      </c>
      <c r="G133" s="8">
        <v>1</v>
      </c>
      <c r="H133" s="8">
        <v>1</v>
      </c>
      <c r="I133" s="8">
        <v>2</v>
      </c>
      <c r="J133" s="8">
        <v>1</v>
      </c>
      <c r="K133" s="8">
        <v>0</v>
      </c>
      <c r="L133" s="8">
        <v>0</v>
      </c>
      <c r="M133" s="8">
        <v>1</v>
      </c>
      <c r="N133" s="8">
        <v>1</v>
      </c>
      <c r="O133" s="8">
        <v>1</v>
      </c>
      <c r="P133" s="8">
        <v>1</v>
      </c>
      <c r="Q133" s="8">
        <v>0</v>
      </c>
      <c r="R133" s="8">
        <v>0</v>
      </c>
      <c r="S133" s="8">
        <v>0</v>
      </c>
      <c r="T133" s="8">
        <v>0</v>
      </c>
      <c r="U133" s="8">
        <v>1</v>
      </c>
    </row>
    <row r="134" spans="1:21" x14ac:dyDescent="0.3">
      <c r="A134" s="6" t="s">
        <v>202</v>
      </c>
      <c r="B134" s="6" t="s">
        <v>211</v>
      </c>
      <c r="C134" s="6" t="s">
        <v>218</v>
      </c>
      <c r="D134" s="7">
        <f t="shared" si="2"/>
        <v>11</v>
      </c>
      <c r="E134" s="8">
        <v>1</v>
      </c>
      <c r="F134" s="8">
        <v>1</v>
      </c>
      <c r="G134" s="8">
        <v>2</v>
      </c>
      <c r="H134" s="8">
        <v>1</v>
      </c>
      <c r="I134" s="8">
        <v>2</v>
      </c>
      <c r="J134" s="8">
        <v>1</v>
      </c>
      <c r="K134" s="8">
        <v>0</v>
      </c>
      <c r="L134" s="8">
        <v>0</v>
      </c>
      <c r="M134" s="8">
        <v>1</v>
      </c>
      <c r="N134" s="8">
        <v>1</v>
      </c>
      <c r="O134" s="8">
        <v>1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</row>
    <row r="135" spans="1:21" x14ac:dyDescent="0.3">
      <c r="A135" s="6" t="s">
        <v>202</v>
      </c>
      <c r="B135" s="6" t="s">
        <v>229</v>
      </c>
      <c r="C135" s="6" t="s">
        <v>234</v>
      </c>
      <c r="D135" s="7">
        <f t="shared" si="2"/>
        <v>11</v>
      </c>
      <c r="E135" s="8">
        <v>1</v>
      </c>
      <c r="F135" s="8">
        <v>0</v>
      </c>
      <c r="G135" s="8">
        <v>1</v>
      </c>
      <c r="H135" s="8">
        <v>1</v>
      </c>
      <c r="I135" s="8">
        <v>5</v>
      </c>
      <c r="J135" s="8">
        <v>1</v>
      </c>
      <c r="K135" s="8">
        <v>0</v>
      </c>
      <c r="L135" s="8">
        <v>0</v>
      </c>
      <c r="M135" s="8">
        <v>0</v>
      </c>
      <c r="N135" s="8">
        <v>0</v>
      </c>
      <c r="O135" s="8">
        <v>1</v>
      </c>
      <c r="P135" s="8">
        <v>0</v>
      </c>
      <c r="Q135" s="8">
        <v>0</v>
      </c>
      <c r="R135" s="8">
        <v>0</v>
      </c>
      <c r="S135" s="8">
        <v>0</v>
      </c>
      <c r="T135" s="8">
        <v>1</v>
      </c>
      <c r="U135" s="8">
        <v>0</v>
      </c>
    </row>
    <row r="136" spans="1:21" x14ac:dyDescent="0.3">
      <c r="A136" s="6" t="s">
        <v>202</v>
      </c>
      <c r="B136" s="6" t="s">
        <v>247</v>
      </c>
      <c r="C136" s="6" t="s">
        <v>250</v>
      </c>
      <c r="D136" s="7">
        <f t="shared" si="2"/>
        <v>11</v>
      </c>
      <c r="E136" s="8">
        <v>1</v>
      </c>
      <c r="F136" s="8">
        <v>0</v>
      </c>
      <c r="G136" s="8">
        <v>1</v>
      </c>
      <c r="H136" s="8">
        <v>1</v>
      </c>
      <c r="I136" s="8">
        <v>4</v>
      </c>
      <c r="J136" s="8">
        <v>1</v>
      </c>
      <c r="K136" s="8">
        <v>0</v>
      </c>
      <c r="L136" s="8">
        <v>1</v>
      </c>
      <c r="M136" s="8">
        <v>0</v>
      </c>
      <c r="N136" s="8">
        <v>1</v>
      </c>
      <c r="O136" s="8">
        <v>0</v>
      </c>
      <c r="P136" s="8">
        <v>0</v>
      </c>
      <c r="Q136" s="8">
        <v>1</v>
      </c>
      <c r="R136" s="8">
        <v>0</v>
      </c>
      <c r="S136" s="8">
        <v>0</v>
      </c>
      <c r="T136" s="8">
        <v>0</v>
      </c>
      <c r="U136" s="8">
        <v>0</v>
      </c>
    </row>
    <row r="137" spans="1:21" x14ac:dyDescent="0.3">
      <c r="A137" s="6" t="s">
        <v>202</v>
      </c>
      <c r="B137" s="6" t="s">
        <v>220</v>
      </c>
      <c r="C137" s="6" t="s">
        <v>224</v>
      </c>
      <c r="D137" s="7">
        <f t="shared" si="2"/>
        <v>10</v>
      </c>
      <c r="E137" s="8">
        <v>1</v>
      </c>
      <c r="F137" s="8">
        <v>1</v>
      </c>
      <c r="G137" s="8">
        <v>1</v>
      </c>
      <c r="H137" s="8">
        <v>1</v>
      </c>
      <c r="I137" s="8">
        <v>2</v>
      </c>
      <c r="J137" s="8">
        <v>0</v>
      </c>
      <c r="K137" s="8">
        <v>0</v>
      </c>
      <c r="L137" s="8">
        <v>1</v>
      </c>
      <c r="M137" s="8">
        <v>2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1</v>
      </c>
    </row>
    <row r="138" spans="1:21" x14ac:dyDescent="0.3">
      <c r="A138" s="6" t="s">
        <v>202</v>
      </c>
      <c r="B138" s="6" t="s">
        <v>247</v>
      </c>
      <c r="C138" s="6" t="s">
        <v>253</v>
      </c>
      <c r="D138" s="7">
        <f t="shared" si="2"/>
        <v>10</v>
      </c>
      <c r="E138" s="8">
        <v>0</v>
      </c>
      <c r="F138" s="8">
        <v>0</v>
      </c>
      <c r="G138" s="8">
        <v>1</v>
      </c>
      <c r="H138" s="8">
        <v>1</v>
      </c>
      <c r="I138" s="8">
        <v>3</v>
      </c>
      <c r="J138" s="8">
        <v>1</v>
      </c>
      <c r="K138" s="8">
        <v>0</v>
      </c>
      <c r="L138" s="8">
        <v>0</v>
      </c>
      <c r="M138" s="8">
        <v>1</v>
      </c>
      <c r="N138" s="8">
        <v>1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1</v>
      </c>
      <c r="U138" s="8">
        <v>1</v>
      </c>
    </row>
    <row r="139" spans="1:21" x14ac:dyDescent="0.3">
      <c r="A139" s="6" t="s">
        <v>202</v>
      </c>
      <c r="B139" s="6" t="s">
        <v>203</v>
      </c>
      <c r="C139" s="6" t="s">
        <v>206</v>
      </c>
      <c r="D139" s="7">
        <f t="shared" si="2"/>
        <v>9</v>
      </c>
      <c r="E139" s="8">
        <v>1</v>
      </c>
      <c r="F139" s="8">
        <v>1</v>
      </c>
      <c r="G139" s="8">
        <v>1</v>
      </c>
      <c r="H139" s="8">
        <v>1</v>
      </c>
      <c r="I139" s="8">
        <v>2</v>
      </c>
      <c r="J139" s="8">
        <v>0</v>
      </c>
      <c r="K139" s="8">
        <v>0</v>
      </c>
      <c r="L139" s="8">
        <v>0</v>
      </c>
      <c r="M139" s="8">
        <v>1</v>
      </c>
      <c r="N139" s="8">
        <v>0</v>
      </c>
      <c r="O139" s="8">
        <v>0</v>
      </c>
      <c r="P139" s="8">
        <v>0</v>
      </c>
      <c r="Q139" s="8">
        <v>1</v>
      </c>
      <c r="R139" s="8">
        <v>0</v>
      </c>
      <c r="S139" s="8">
        <v>0</v>
      </c>
      <c r="T139" s="8">
        <v>0</v>
      </c>
      <c r="U139" s="8">
        <v>1</v>
      </c>
    </row>
    <row r="140" spans="1:21" ht="12.75" customHeight="1" x14ac:dyDescent="0.3">
      <c r="A140" s="6" t="s">
        <v>202</v>
      </c>
      <c r="B140" s="6" t="s">
        <v>238</v>
      </c>
      <c r="C140" s="6" t="s">
        <v>241</v>
      </c>
      <c r="D140" s="7">
        <f t="shared" si="2"/>
        <v>9</v>
      </c>
      <c r="E140" s="8">
        <v>1</v>
      </c>
      <c r="F140" s="8">
        <v>0</v>
      </c>
      <c r="G140" s="8">
        <v>1</v>
      </c>
      <c r="H140" s="8">
        <v>0</v>
      </c>
      <c r="I140" s="8">
        <v>2</v>
      </c>
      <c r="J140" s="8">
        <v>1</v>
      </c>
      <c r="K140" s="8">
        <v>0</v>
      </c>
      <c r="L140" s="8">
        <v>0</v>
      </c>
      <c r="M140" s="8">
        <v>1</v>
      </c>
      <c r="N140" s="8">
        <v>1</v>
      </c>
      <c r="O140" s="8">
        <v>1</v>
      </c>
      <c r="P140" s="8">
        <v>1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</row>
    <row r="141" spans="1:21" ht="12.75" customHeight="1" x14ac:dyDescent="0.3">
      <c r="A141" s="6" t="s">
        <v>202</v>
      </c>
      <c r="B141" s="6" t="s">
        <v>238</v>
      </c>
      <c r="C141" s="6" t="s">
        <v>242</v>
      </c>
      <c r="D141" s="7">
        <f t="shared" si="2"/>
        <v>9</v>
      </c>
      <c r="E141" s="8">
        <v>1</v>
      </c>
      <c r="F141" s="8">
        <v>0</v>
      </c>
      <c r="G141" s="8">
        <v>1</v>
      </c>
      <c r="H141" s="8">
        <v>1</v>
      </c>
      <c r="I141" s="8">
        <v>2</v>
      </c>
      <c r="J141" s="8">
        <v>1</v>
      </c>
      <c r="K141" s="8">
        <v>0</v>
      </c>
      <c r="L141" s="8">
        <v>0</v>
      </c>
      <c r="M141" s="8">
        <v>0</v>
      </c>
      <c r="N141" s="8">
        <v>0</v>
      </c>
      <c r="O141" s="8">
        <v>1</v>
      </c>
      <c r="P141" s="8">
        <v>1</v>
      </c>
      <c r="Q141" s="8">
        <v>1</v>
      </c>
      <c r="R141" s="8">
        <v>0</v>
      </c>
      <c r="S141" s="8">
        <v>0</v>
      </c>
      <c r="T141" s="8">
        <v>0</v>
      </c>
      <c r="U141" s="8">
        <v>0</v>
      </c>
    </row>
    <row r="142" spans="1:21" ht="12.75" customHeight="1" x14ac:dyDescent="0.3">
      <c r="A142" s="6" t="s">
        <v>202</v>
      </c>
      <c r="B142" s="6" t="s">
        <v>238</v>
      </c>
      <c r="C142" s="6" t="s">
        <v>245</v>
      </c>
      <c r="D142" s="7">
        <f t="shared" si="2"/>
        <v>9</v>
      </c>
      <c r="E142" s="8">
        <v>1</v>
      </c>
      <c r="F142" s="8">
        <v>1</v>
      </c>
      <c r="G142" s="8">
        <v>2</v>
      </c>
      <c r="H142" s="8">
        <v>1</v>
      </c>
      <c r="I142" s="8">
        <v>2</v>
      </c>
      <c r="J142" s="8">
        <v>1</v>
      </c>
      <c r="K142" s="8">
        <v>0</v>
      </c>
      <c r="L142" s="8">
        <v>1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</row>
    <row r="143" spans="1:21" x14ac:dyDescent="0.3">
      <c r="A143" s="6" t="s">
        <v>202</v>
      </c>
      <c r="B143" s="6" t="s">
        <v>203</v>
      </c>
      <c r="C143" s="6" t="s">
        <v>208</v>
      </c>
      <c r="D143" s="7">
        <f t="shared" si="2"/>
        <v>8</v>
      </c>
      <c r="E143" s="8">
        <v>1</v>
      </c>
      <c r="F143" s="8">
        <v>1</v>
      </c>
      <c r="G143" s="8">
        <v>1</v>
      </c>
      <c r="H143" s="8">
        <v>1</v>
      </c>
      <c r="I143" s="8">
        <v>1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  <c r="P143" s="8">
        <v>1</v>
      </c>
      <c r="Q143" s="8">
        <v>1</v>
      </c>
      <c r="R143" s="8">
        <v>0</v>
      </c>
      <c r="S143" s="8">
        <v>0</v>
      </c>
      <c r="T143" s="8">
        <v>0</v>
      </c>
      <c r="U143" s="8">
        <v>0</v>
      </c>
    </row>
    <row r="144" spans="1:21" x14ac:dyDescent="0.3">
      <c r="A144" s="6" t="s">
        <v>202</v>
      </c>
      <c r="B144" s="6" t="s">
        <v>220</v>
      </c>
      <c r="C144" s="11" t="s">
        <v>227</v>
      </c>
      <c r="D144" s="7">
        <f t="shared" si="2"/>
        <v>8</v>
      </c>
      <c r="E144" s="8">
        <v>1</v>
      </c>
      <c r="F144" s="8">
        <v>0</v>
      </c>
      <c r="G144" s="8">
        <v>1</v>
      </c>
      <c r="H144" s="8">
        <v>1</v>
      </c>
      <c r="I144" s="8">
        <v>1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1</v>
      </c>
      <c r="Q144" s="8">
        <v>1</v>
      </c>
      <c r="R144" s="8">
        <v>0</v>
      </c>
      <c r="S144" s="8">
        <v>0</v>
      </c>
      <c r="T144" s="8">
        <v>0</v>
      </c>
      <c r="U144" s="8">
        <v>1</v>
      </c>
    </row>
    <row r="145" spans="1:21" x14ac:dyDescent="0.3">
      <c r="A145" s="6" t="s">
        <v>202</v>
      </c>
      <c r="B145" s="6" t="s">
        <v>229</v>
      </c>
      <c r="C145" s="6" t="s">
        <v>236</v>
      </c>
      <c r="D145" s="7">
        <f t="shared" si="2"/>
        <v>8</v>
      </c>
      <c r="E145" s="8">
        <v>1</v>
      </c>
      <c r="F145" s="8">
        <v>1</v>
      </c>
      <c r="G145" s="8">
        <v>0</v>
      </c>
      <c r="H145" s="8">
        <v>1</v>
      </c>
      <c r="I145" s="8">
        <v>1</v>
      </c>
      <c r="J145" s="8">
        <v>1</v>
      </c>
      <c r="K145" s="8">
        <v>0</v>
      </c>
      <c r="L145" s="8">
        <v>0</v>
      </c>
      <c r="M145" s="8">
        <v>1</v>
      </c>
      <c r="N145" s="8">
        <v>1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</v>
      </c>
      <c r="U145" s="8">
        <v>0</v>
      </c>
    </row>
    <row r="146" spans="1:21" x14ac:dyDescent="0.3">
      <c r="A146" s="6" t="s">
        <v>202</v>
      </c>
      <c r="B146" s="6" t="s">
        <v>238</v>
      </c>
      <c r="C146" s="6" t="s">
        <v>243</v>
      </c>
      <c r="D146" s="7">
        <f t="shared" si="2"/>
        <v>8</v>
      </c>
      <c r="E146" s="8">
        <v>1</v>
      </c>
      <c r="F146" s="8">
        <v>1</v>
      </c>
      <c r="G146" s="8">
        <v>0</v>
      </c>
      <c r="H146" s="8">
        <v>0</v>
      </c>
      <c r="I146" s="8">
        <v>1</v>
      </c>
      <c r="J146" s="8">
        <v>0</v>
      </c>
      <c r="K146" s="8">
        <v>1</v>
      </c>
      <c r="L146" s="8">
        <v>0</v>
      </c>
      <c r="M146" s="8">
        <v>0</v>
      </c>
      <c r="N146" s="8">
        <v>1</v>
      </c>
      <c r="O146" s="8">
        <v>0</v>
      </c>
      <c r="P146" s="8">
        <v>1</v>
      </c>
      <c r="Q146" s="8">
        <v>2</v>
      </c>
      <c r="R146" s="8">
        <v>0</v>
      </c>
      <c r="S146" s="8">
        <v>0</v>
      </c>
      <c r="T146" s="8">
        <v>0</v>
      </c>
      <c r="U146" s="8">
        <v>0</v>
      </c>
    </row>
    <row r="147" spans="1:21" x14ac:dyDescent="0.3">
      <c r="A147" s="6" t="s">
        <v>202</v>
      </c>
      <c r="B147" s="6" t="s">
        <v>238</v>
      </c>
      <c r="C147" s="6" t="s">
        <v>246</v>
      </c>
      <c r="D147" s="7">
        <f t="shared" si="2"/>
        <v>8</v>
      </c>
      <c r="E147" s="8">
        <v>1</v>
      </c>
      <c r="F147" s="8">
        <v>1</v>
      </c>
      <c r="G147" s="8">
        <v>1</v>
      </c>
      <c r="H147" s="8">
        <v>1</v>
      </c>
      <c r="I147" s="8">
        <v>2</v>
      </c>
      <c r="J147" s="8">
        <v>1</v>
      </c>
      <c r="K147" s="8">
        <v>0</v>
      </c>
      <c r="L147" s="8">
        <v>0</v>
      </c>
      <c r="M147" s="8">
        <v>1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</row>
    <row r="148" spans="1:21" x14ac:dyDescent="0.3">
      <c r="A148" s="6" t="s">
        <v>202</v>
      </c>
      <c r="B148" s="6" t="s">
        <v>203</v>
      </c>
      <c r="C148" s="6" t="s">
        <v>204</v>
      </c>
      <c r="D148" s="7">
        <f t="shared" si="2"/>
        <v>7</v>
      </c>
      <c r="E148" s="8">
        <v>1</v>
      </c>
      <c r="F148" s="8">
        <v>1</v>
      </c>
      <c r="G148" s="8">
        <v>1</v>
      </c>
      <c r="H148" s="8">
        <v>0</v>
      </c>
      <c r="I148" s="8">
        <v>1</v>
      </c>
      <c r="J148" s="8">
        <v>0</v>
      </c>
      <c r="K148" s="8">
        <v>0</v>
      </c>
      <c r="L148" s="8">
        <v>0</v>
      </c>
      <c r="M148" s="8">
        <v>1</v>
      </c>
      <c r="N148" s="8">
        <v>1</v>
      </c>
      <c r="O148" s="8">
        <v>0</v>
      </c>
      <c r="P148" s="8">
        <v>1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</row>
    <row r="149" spans="1:21" x14ac:dyDescent="0.3">
      <c r="A149" s="6" t="s">
        <v>202</v>
      </c>
      <c r="B149" s="6" t="s">
        <v>203</v>
      </c>
      <c r="C149" s="6" t="s">
        <v>209</v>
      </c>
      <c r="D149" s="7">
        <f t="shared" si="2"/>
        <v>7</v>
      </c>
      <c r="E149" s="8">
        <v>1</v>
      </c>
      <c r="F149" s="8">
        <v>0</v>
      </c>
      <c r="G149" s="8">
        <v>1</v>
      </c>
      <c r="H149" s="8">
        <v>1</v>
      </c>
      <c r="I149" s="8">
        <v>1</v>
      </c>
      <c r="J149" s="8">
        <v>1</v>
      </c>
      <c r="K149" s="8">
        <v>0</v>
      </c>
      <c r="L149" s="8">
        <v>1</v>
      </c>
      <c r="M149" s="8">
        <v>0</v>
      </c>
      <c r="N149" s="8">
        <v>0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</row>
    <row r="150" spans="1:21" ht="12.75" customHeight="1" x14ac:dyDescent="0.3">
      <c r="A150" s="6" t="s">
        <v>202</v>
      </c>
      <c r="B150" s="6" t="s">
        <v>211</v>
      </c>
      <c r="C150" s="6" t="s">
        <v>213</v>
      </c>
      <c r="D150" s="7">
        <f t="shared" si="2"/>
        <v>7</v>
      </c>
      <c r="E150" s="8">
        <v>1</v>
      </c>
      <c r="F150" s="8">
        <v>1</v>
      </c>
      <c r="G150" s="8">
        <v>1</v>
      </c>
      <c r="H150" s="8">
        <v>0</v>
      </c>
      <c r="I150" s="8">
        <v>1</v>
      </c>
      <c r="J150" s="8">
        <v>1</v>
      </c>
      <c r="K150" s="8">
        <v>0</v>
      </c>
      <c r="L150" s="8">
        <v>0</v>
      </c>
      <c r="M150" s="8">
        <v>1</v>
      </c>
      <c r="N150" s="8">
        <v>0</v>
      </c>
      <c r="O150" s="8">
        <v>1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</row>
    <row r="151" spans="1:21" ht="12.75" customHeight="1" x14ac:dyDescent="0.3">
      <c r="A151" s="6" t="s">
        <v>202</v>
      </c>
      <c r="B151" s="6" t="s">
        <v>203</v>
      </c>
      <c r="C151" s="6" t="s">
        <v>207</v>
      </c>
      <c r="D151" s="7">
        <f t="shared" si="2"/>
        <v>6</v>
      </c>
      <c r="E151" s="8">
        <v>1</v>
      </c>
      <c r="F151" s="8">
        <v>1</v>
      </c>
      <c r="G151" s="8">
        <v>0</v>
      </c>
      <c r="H151" s="8">
        <v>0</v>
      </c>
      <c r="I151" s="8">
        <v>1</v>
      </c>
      <c r="J151" s="8">
        <v>0</v>
      </c>
      <c r="K151" s="8">
        <v>0</v>
      </c>
      <c r="L151" s="8">
        <v>0</v>
      </c>
      <c r="M151" s="8">
        <v>1</v>
      </c>
      <c r="N151" s="8">
        <v>1</v>
      </c>
      <c r="O151" s="8">
        <v>0</v>
      </c>
      <c r="P151" s="8">
        <v>0</v>
      </c>
      <c r="Q151" s="8">
        <v>1</v>
      </c>
      <c r="R151" s="8">
        <v>0</v>
      </c>
      <c r="S151" s="8">
        <v>0</v>
      </c>
      <c r="T151" s="8">
        <v>0</v>
      </c>
      <c r="U151" s="8">
        <v>0</v>
      </c>
    </row>
    <row r="152" spans="1:21" ht="12.75" customHeight="1" x14ac:dyDescent="0.3">
      <c r="A152" s="6" t="s">
        <v>202</v>
      </c>
      <c r="B152" s="6" t="s">
        <v>203</v>
      </c>
      <c r="C152" s="6" t="s">
        <v>205</v>
      </c>
      <c r="D152" s="7">
        <f t="shared" si="2"/>
        <v>5</v>
      </c>
      <c r="E152" s="8">
        <v>1</v>
      </c>
      <c r="F152" s="8">
        <v>0</v>
      </c>
      <c r="G152" s="8">
        <v>1</v>
      </c>
      <c r="H152" s="8">
        <v>0</v>
      </c>
      <c r="I152" s="8">
        <v>1</v>
      </c>
      <c r="J152" s="8">
        <v>0</v>
      </c>
      <c r="K152" s="8">
        <v>0</v>
      </c>
      <c r="L152" s="8">
        <v>0</v>
      </c>
      <c r="M152" s="8">
        <v>1</v>
      </c>
      <c r="N152" s="8">
        <v>0</v>
      </c>
      <c r="O152" s="8">
        <v>0</v>
      </c>
      <c r="P152" s="8">
        <v>1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</row>
    <row r="153" spans="1:21" ht="12.75" customHeight="1" x14ac:dyDescent="0.3">
      <c r="A153" s="6" t="s">
        <v>202</v>
      </c>
      <c r="B153" s="6" t="s">
        <v>211</v>
      </c>
      <c r="C153" s="6" t="s">
        <v>216</v>
      </c>
      <c r="D153" s="7">
        <f t="shared" si="2"/>
        <v>5</v>
      </c>
      <c r="E153" s="8">
        <v>0</v>
      </c>
      <c r="F153" s="8">
        <v>1</v>
      </c>
      <c r="G153" s="8">
        <v>0</v>
      </c>
      <c r="H153" s="8">
        <v>1</v>
      </c>
      <c r="I153" s="8">
        <v>2</v>
      </c>
      <c r="J153" s="8">
        <v>0</v>
      </c>
      <c r="K153" s="8">
        <v>0</v>
      </c>
      <c r="L153" s="8">
        <v>0</v>
      </c>
      <c r="M153" s="8">
        <v>0</v>
      </c>
      <c r="N153" s="8">
        <v>1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</row>
    <row r="154" spans="1:21" ht="12.75" customHeight="1" x14ac:dyDescent="0.3">
      <c r="A154" s="6" t="s">
        <v>202</v>
      </c>
      <c r="B154" s="6" t="s">
        <v>211</v>
      </c>
      <c r="C154" s="6" t="s">
        <v>219</v>
      </c>
      <c r="D154" s="7">
        <f t="shared" si="2"/>
        <v>5</v>
      </c>
      <c r="E154" s="8">
        <v>1</v>
      </c>
      <c r="F154" s="8">
        <v>1</v>
      </c>
      <c r="G154" s="8">
        <v>1</v>
      </c>
      <c r="H154" s="8">
        <v>0</v>
      </c>
      <c r="I154" s="8">
        <v>1</v>
      </c>
      <c r="J154" s="8">
        <v>0</v>
      </c>
      <c r="K154" s="8">
        <v>1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</row>
    <row r="155" spans="1:21" s="1" customFormat="1" ht="12.75" customHeight="1" x14ac:dyDescent="0.3">
      <c r="A155" s="6" t="s">
        <v>202</v>
      </c>
      <c r="B155" s="6" t="s">
        <v>238</v>
      </c>
      <c r="C155" s="11" t="s">
        <v>244</v>
      </c>
      <c r="D155" s="7">
        <f t="shared" si="2"/>
        <v>5</v>
      </c>
      <c r="E155" s="8">
        <v>1</v>
      </c>
      <c r="F155" s="8">
        <v>1</v>
      </c>
      <c r="G155" s="8">
        <v>1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1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</row>
    <row r="156" spans="1:21" ht="12.75" customHeight="1" x14ac:dyDescent="0.3">
      <c r="A156" s="6" t="s">
        <v>202</v>
      </c>
      <c r="B156" s="6" t="s">
        <v>211</v>
      </c>
      <c r="C156" s="6" t="s">
        <v>212</v>
      </c>
      <c r="D156" s="7">
        <f t="shared" si="2"/>
        <v>4</v>
      </c>
      <c r="E156" s="8">
        <v>1</v>
      </c>
      <c r="F156" s="8">
        <v>0</v>
      </c>
      <c r="G156" s="8">
        <v>0</v>
      </c>
      <c r="H156" s="8">
        <v>1</v>
      </c>
      <c r="I156" s="8">
        <v>1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1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</row>
    <row r="157" spans="1:21" ht="12.75" customHeight="1" x14ac:dyDescent="0.3">
      <c r="A157" s="6" t="s">
        <v>202</v>
      </c>
      <c r="B157" s="6" t="s">
        <v>211</v>
      </c>
      <c r="C157" s="6" t="s">
        <v>217</v>
      </c>
      <c r="D157" s="7">
        <f t="shared" si="2"/>
        <v>4</v>
      </c>
      <c r="E157" s="8">
        <v>1</v>
      </c>
      <c r="F157" s="8">
        <v>1</v>
      </c>
      <c r="G157" s="8">
        <v>1</v>
      </c>
      <c r="H157" s="8">
        <v>0</v>
      </c>
      <c r="I157" s="8">
        <v>1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</row>
    <row r="158" spans="1:21" ht="12.75" customHeight="1" x14ac:dyDescent="0.3">
      <c r="A158" s="6" t="s">
        <v>202</v>
      </c>
      <c r="B158" s="6" t="s">
        <v>247</v>
      </c>
      <c r="C158" s="6" t="s">
        <v>249</v>
      </c>
      <c r="D158" s="7">
        <f t="shared" si="2"/>
        <v>4</v>
      </c>
      <c r="E158" s="8">
        <v>1</v>
      </c>
      <c r="F158" s="8">
        <v>1</v>
      </c>
      <c r="G158" s="8">
        <v>0</v>
      </c>
      <c r="H158" s="8">
        <v>1</v>
      </c>
      <c r="I158" s="8">
        <v>0</v>
      </c>
      <c r="J158" s="8">
        <v>1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</row>
    <row r="159" spans="1:21" ht="12.75" customHeight="1" x14ac:dyDescent="0.3">
      <c r="A159" s="6" t="s">
        <v>202</v>
      </c>
      <c r="B159" s="6" t="s">
        <v>211</v>
      </c>
      <c r="C159" s="6" t="s">
        <v>215</v>
      </c>
      <c r="D159" s="7">
        <f t="shared" si="2"/>
        <v>3</v>
      </c>
      <c r="E159" s="8">
        <v>0</v>
      </c>
      <c r="F159" s="8">
        <v>1</v>
      </c>
      <c r="G159" s="8">
        <v>0</v>
      </c>
      <c r="H159" s="8">
        <v>0</v>
      </c>
      <c r="I159" s="8">
        <v>1</v>
      </c>
      <c r="J159" s="8">
        <v>1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</row>
    <row r="160" spans="1:21" x14ac:dyDescent="0.3">
      <c r="A160" s="6" t="s">
        <v>202</v>
      </c>
      <c r="B160" s="6" t="s">
        <v>238</v>
      </c>
      <c r="C160" s="11" t="s">
        <v>239</v>
      </c>
      <c r="D160" s="7">
        <f t="shared" si="2"/>
        <v>3</v>
      </c>
      <c r="E160" s="8">
        <v>0</v>
      </c>
      <c r="F160" s="8">
        <v>0</v>
      </c>
      <c r="G160" s="8">
        <v>0</v>
      </c>
      <c r="H160" s="8">
        <v>0</v>
      </c>
      <c r="I160" s="8">
        <v>1</v>
      </c>
      <c r="J160" s="8">
        <v>0</v>
      </c>
      <c r="K160" s="8">
        <v>0</v>
      </c>
      <c r="L160" s="8">
        <v>0</v>
      </c>
      <c r="M160" s="8">
        <v>1</v>
      </c>
      <c r="N160" s="8">
        <v>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</row>
    <row r="161" spans="1:21" x14ac:dyDescent="0.3">
      <c r="A161" s="6" t="s">
        <v>202</v>
      </c>
      <c r="B161" s="6" t="s">
        <v>211</v>
      </c>
      <c r="C161" s="6" t="s">
        <v>214</v>
      </c>
      <c r="D161" s="7">
        <f t="shared" si="2"/>
        <v>1</v>
      </c>
      <c r="E161" s="8">
        <v>0</v>
      </c>
      <c r="F161" s="8">
        <v>0</v>
      </c>
      <c r="G161" s="8">
        <v>0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</row>
    <row r="162" spans="1:21" x14ac:dyDescent="0.3">
      <c r="A162" s="6" t="s">
        <v>202</v>
      </c>
      <c r="B162" s="6" t="s">
        <v>229</v>
      </c>
      <c r="C162" s="6" t="s">
        <v>232</v>
      </c>
      <c r="D162" s="7">
        <f t="shared" si="2"/>
        <v>4</v>
      </c>
      <c r="E162" s="8">
        <v>0</v>
      </c>
      <c r="F162" s="8">
        <v>0</v>
      </c>
      <c r="G162" s="8">
        <v>1</v>
      </c>
      <c r="H162" s="8">
        <v>0</v>
      </c>
      <c r="I162" s="8">
        <v>2</v>
      </c>
      <c r="J162" s="8">
        <v>0</v>
      </c>
      <c r="K162" s="8">
        <v>0</v>
      </c>
      <c r="L162" s="8">
        <v>0</v>
      </c>
      <c r="M162" s="8">
        <v>1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</row>
    <row r="163" spans="1:21" x14ac:dyDescent="0.3">
      <c r="A163" s="6" t="str">
        <f>VLOOKUP(C163,'[1]MURATPAŞA BÖLGE'!$C:$H,6,0)</f>
        <v>VELİ GÖK</v>
      </c>
      <c r="B163" s="6" t="str">
        <f>VLOOKUP(C163,'[1]MURATPAŞA BÖLGE'!$C:$G,5,0)</f>
        <v>ÇAĞRI YALÇIN</v>
      </c>
      <c r="C163" s="6" t="s">
        <v>160</v>
      </c>
      <c r="D163" s="7">
        <f t="shared" si="2"/>
        <v>23</v>
      </c>
      <c r="E163" s="8">
        <v>4</v>
      </c>
      <c r="F163" s="8">
        <v>2</v>
      </c>
      <c r="G163" s="8">
        <v>1</v>
      </c>
      <c r="H163" s="8">
        <v>2</v>
      </c>
      <c r="I163" s="8">
        <v>3</v>
      </c>
      <c r="J163" s="8">
        <v>1</v>
      </c>
      <c r="K163" s="8">
        <v>1</v>
      </c>
      <c r="L163" s="8">
        <v>0</v>
      </c>
      <c r="M163" s="8">
        <v>3</v>
      </c>
      <c r="N163" s="8">
        <v>2</v>
      </c>
      <c r="O163" s="8">
        <v>3</v>
      </c>
      <c r="P163" s="8">
        <v>0</v>
      </c>
      <c r="Q163" s="8">
        <v>1</v>
      </c>
      <c r="R163" s="8">
        <v>0</v>
      </c>
      <c r="S163" s="8">
        <v>0</v>
      </c>
      <c r="T163" s="8">
        <v>0</v>
      </c>
      <c r="U163" s="8">
        <v>0</v>
      </c>
    </row>
    <row r="164" spans="1:21" x14ac:dyDescent="0.3">
      <c r="A164" s="6" t="str">
        <f>VLOOKUP(C164,'[1]MURATPAŞA BÖLGE'!$C:$H,6,0)</f>
        <v>VELİ GÖK</v>
      </c>
      <c r="B164" s="6" t="s">
        <v>185</v>
      </c>
      <c r="C164" s="6" t="s">
        <v>193</v>
      </c>
      <c r="D164" s="7">
        <f t="shared" si="2"/>
        <v>22</v>
      </c>
      <c r="E164" s="8">
        <v>2</v>
      </c>
      <c r="F164" s="8">
        <v>1</v>
      </c>
      <c r="G164" s="8">
        <v>1</v>
      </c>
      <c r="H164" s="8">
        <v>1</v>
      </c>
      <c r="I164" s="8">
        <v>5</v>
      </c>
      <c r="J164" s="8">
        <v>1</v>
      </c>
      <c r="K164" s="8">
        <v>1</v>
      </c>
      <c r="L164" s="8">
        <v>0</v>
      </c>
      <c r="M164" s="8">
        <v>4</v>
      </c>
      <c r="N164" s="8">
        <v>1</v>
      </c>
      <c r="O164" s="8">
        <v>2</v>
      </c>
      <c r="P164" s="8">
        <v>1</v>
      </c>
      <c r="Q164" s="8">
        <v>0</v>
      </c>
      <c r="R164" s="8">
        <v>0</v>
      </c>
      <c r="S164" s="8">
        <v>1</v>
      </c>
      <c r="T164" s="8">
        <v>0</v>
      </c>
      <c r="U164" s="8">
        <v>1</v>
      </c>
    </row>
    <row r="165" spans="1:21" x14ac:dyDescent="0.3">
      <c r="A165" s="6" t="str">
        <f>VLOOKUP(C165,'[1]MURATPAŞA BÖLGE'!$C:$H,6,0)</f>
        <v>VELİ GÖK</v>
      </c>
      <c r="B165" s="6" t="str">
        <f>VLOOKUP(C165,'[1]MURATPAŞA BÖLGE'!$C:$G,5,0)</f>
        <v>ÇAĞRI YALÇIN</v>
      </c>
      <c r="C165" s="6" t="s">
        <v>159</v>
      </c>
      <c r="D165" s="7">
        <f t="shared" si="2"/>
        <v>21</v>
      </c>
      <c r="E165" s="8">
        <v>2</v>
      </c>
      <c r="F165" s="8">
        <v>2</v>
      </c>
      <c r="G165" s="8">
        <v>2</v>
      </c>
      <c r="H165" s="8">
        <v>1</v>
      </c>
      <c r="I165" s="8">
        <v>4</v>
      </c>
      <c r="J165" s="8">
        <v>1</v>
      </c>
      <c r="K165" s="8">
        <v>1</v>
      </c>
      <c r="L165" s="8">
        <v>0</v>
      </c>
      <c r="M165" s="8">
        <v>2</v>
      </c>
      <c r="N165" s="8">
        <v>2</v>
      </c>
      <c r="O165" s="8">
        <v>2</v>
      </c>
      <c r="P165" s="8">
        <v>1</v>
      </c>
      <c r="Q165" s="8">
        <v>1</v>
      </c>
      <c r="R165" s="8">
        <v>0</v>
      </c>
      <c r="S165" s="8">
        <v>0</v>
      </c>
      <c r="T165" s="8">
        <v>0</v>
      </c>
      <c r="U165" s="8">
        <v>0</v>
      </c>
    </row>
    <row r="166" spans="1:21" x14ac:dyDescent="0.3">
      <c r="A166" s="6" t="s">
        <v>156</v>
      </c>
      <c r="B166" s="6" t="s">
        <v>157</v>
      </c>
      <c r="C166" s="6" t="s">
        <v>158</v>
      </c>
      <c r="D166" s="7">
        <f t="shared" si="2"/>
        <v>19</v>
      </c>
      <c r="E166" s="8">
        <v>2</v>
      </c>
      <c r="F166" s="8">
        <v>2</v>
      </c>
      <c r="G166" s="8">
        <v>1</v>
      </c>
      <c r="H166" s="8">
        <v>1</v>
      </c>
      <c r="I166" s="8">
        <v>4</v>
      </c>
      <c r="J166" s="8">
        <v>1</v>
      </c>
      <c r="K166" s="8">
        <v>0</v>
      </c>
      <c r="L166" s="8">
        <v>0</v>
      </c>
      <c r="M166" s="8">
        <v>3</v>
      </c>
      <c r="N166" s="8">
        <v>1</v>
      </c>
      <c r="O166" s="8">
        <v>2</v>
      </c>
      <c r="P166" s="8">
        <v>1</v>
      </c>
      <c r="Q166" s="8">
        <v>1</v>
      </c>
      <c r="R166" s="8">
        <v>0</v>
      </c>
      <c r="S166" s="8">
        <v>0</v>
      </c>
      <c r="T166" s="8">
        <v>0</v>
      </c>
      <c r="U166" s="8">
        <v>0</v>
      </c>
    </row>
    <row r="167" spans="1:21" x14ac:dyDescent="0.3">
      <c r="A167" s="6" t="s">
        <v>156</v>
      </c>
      <c r="B167" s="6" t="s">
        <v>180</v>
      </c>
      <c r="C167" s="6" t="s">
        <v>184</v>
      </c>
      <c r="D167" s="7">
        <f t="shared" si="2"/>
        <v>19</v>
      </c>
      <c r="E167" s="8">
        <v>2</v>
      </c>
      <c r="F167" s="8">
        <v>2</v>
      </c>
      <c r="G167" s="8">
        <v>1</v>
      </c>
      <c r="H167" s="8">
        <v>1</v>
      </c>
      <c r="I167" s="8">
        <v>3</v>
      </c>
      <c r="J167" s="8">
        <v>1</v>
      </c>
      <c r="K167" s="8">
        <v>1</v>
      </c>
      <c r="L167" s="8">
        <v>0</v>
      </c>
      <c r="M167" s="8">
        <v>2</v>
      </c>
      <c r="N167" s="8">
        <v>1</v>
      </c>
      <c r="O167" s="8">
        <v>2</v>
      </c>
      <c r="P167" s="8">
        <v>1</v>
      </c>
      <c r="Q167" s="8">
        <v>0</v>
      </c>
      <c r="R167" s="8">
        <v>0</v>
      </c>
      <c r="S167" s="8">
        <v>1</v>
      </c>
      <c r="T167" s="8">
        <v>0</v>
      </c>
      <c r="U167" s="8">
        <v>1</v>
      </c>
    </row>
    <row r="168" spans="1:21" x14ac:dyDescent="0.3">
      <c r="A168" s="6" t="str">
        <f>VLOOKUP(C168,'[1]MURATPAŞA BÖLGE'!$C:$H,6,0)</f>
        <v>VELİ GÖK</v>
      </c>
      <c r="B168" s="6" t="s">
        <v>185</v>
      </c>
      <c r="C168" s="6" t="s">
        <v>192</v>
      </c>
      <c r="D168" s="7">
        <f t="shared" si="2"/>
        <v>19</v>
      </c>
      <c r="E168" s="8">
        <v>2</v>
      </c>
      <c r="F168" s="8">
        <v>1</v>
      </c>
      <c r="G168" s="8">
        <v>0</v>
      </c>
      <c r="H168" s="8">
        <v>1</v>
      </c>
      <c r="I168" s="8">
        <v>3</v>
      </c>
      <c r="J168" s="8">
        <v>1</v>
      </c>
      <c r="K168" s="8">
        <v>0</v>
      </c>
      <c r="L168" s="8">
        <v>0</v>
      </c>
      <c r="M168" s="8">
        <v>5</v>
      </c>
      <c r="N168" s="8">
        <v>0</v>
      </c>
      <c r="O168" s="8">
        <v>1</v>
      </c>
      <c r="P168" s="8">
        <v>0</v>
      </c>
      <c r="Q168" s="8">
        <v>2</v>
      </c>
      <c r="R168" s="8">
        <v>0</v>
      </c>
      <c r="S168" s="8">
        <v>0</v>
      </c>
      <c r="T168" s="8">
        <v>1</v>
      </c>
      <c r="U168" s="8">
        <v>2</v>
      </c>
    </row>
    <row r="169" spans="1:21" x14ac:dyDescent="0.3">
      <c r="A169" s="6" t="str">
        <f>VLOOKUP(C169,'[1]MURATPAŞA BÖLGE'!$C:$H,6,0)</f>
        <v>VELİ GÖK</v>
      </c>
      <c r="B169" s="6" t="str">
        <f>VLOOKUP(C169,'[1]MURATPAŞA BÖLGE'!$C:$G,5,0)</f>
        <v>SALİH SERKAN ERÇİN</v>
      </c>
      <c r="C169" s="6" t="s">
        <v>183</v>
      </c>
      <c r="D169" s="7">
        <f t="shared" si="2"/>
        <v>18</v>
      </c>
      <c r="E169" s="8">
        <v>1</v>
      </c>
      <c r="F169" s="8">
        <v>2</v>
      </c>
      <c r="G169" s="8">
        <v>1</v>
      </c>
      <c r="H169" s="8">
        <v>1</v>
      </c>
      <c r="I169" s="8">
        <v>2</v>
      </c>
      <c r="J169" s="8">
        <v>2</v>
      </c>
      <c r="K169" s="8">
        <v>1</v>
      </c>
      <c r="L169" s="8">
        <v>0</v>
      </c>
      <c r="M169" s="8">
        <v>2</v>
      </c>
      <c r="N169" s="8">
        <v>2</v>
      </c>
      <c r="O169" s="8">
        <v>1</v>
      </c>
      <c r="P169" s="8">
        <v>1</v>
      </c>
      <c r="Q169" s="8">
        <v>0</v>
      </c>
      <c r="R169" s="8">
        <v>0</v>
      </c>
      <c r="S169" s="8">
        <v>1</v>
      </c>
      <c r="T169" s="8">
        <v>0</v>
      </c>
      <c r="U169" s="8">
        <v>1</v>
      </c>
    </row>
    <row r="170" spans="1:21" x14ac:dyDescent="0.3">
      <c r="A170" s="6" t="str">
        <f>VLOOKUP(C170,'[1]MURATPAŞA BÖLGE'!$C:$H,6,0)</f>
        <v>VELİ GÖK</v>
      </c>
      <c r="B170" s="6" t="s">
        <v>161</v>
      </c>
      <c r="C170" s="10" t="s">
        <v>168</v>
      </c>
      <c r="D170" s="7">
        <f t="shared" si="2"/>
        <v>17</v>
      </c>
      <c r="E170" s="8">
        <v>1</v>
      </c>
      <c r="F170" s="8">
        <v>1</v>
      </c>
      <c r="G170" s="8">
        <v>1</v>
      </c>
      <c r="H170" s="8">
        <v>0</v>
      </c>
      <c r="I170" s="8">
        <v>2</v>
      </c>
      <c r="J170" s="8">
        <v>1</v>
      </c>
      <c r="K170" s="8">
        <v>0</v>
      </c>
      <c r="L170" s="8">
        <v>2</v>
      </c>
      <c r="M170" s="8">
        <v>2</v>
      </c>
      <c r="N170" s="8">
        <v>1</v>
      </c>
      <c r="O170" s="8">
        <v>2</v>
      </c>
      <c r="P170" s="8">
        <v>0</v>
      </c>
      <c r="Q170" s="8">
        <v>2</v>
      </c>
      <c r="R170" s="8">
        <v>0</v>
      </c>
      <c r="S170" s="8">
        <v>1</v>
      </c>
      <c r="T170" s="8">
        <v>0</v>
      </c>
      <c r="U170" s="8">
        <v>1</v>
      </c>
    </row>
    <row r="171" spans="1:21" x14ac:dyDescent="0.3">
      <c r="A171" s="6" t="s">
        <v>156</v>
      </c>
      <c r="B171" s="6" t="s">
        <v>180</v>
      </c>
      <c r="C171" s="6" t="s">
        <v>181</v>
      </c>
      <c r="D171" s="7">
        <f t="shared" si="2"/>
        <v>16</v>
      </c>
      <c r="E171" s="8">
        <v>1</v>
      </c>
      <c r="F171" s="8">
        <v>2</v>
      </c>
      <c r="G171" s="8">
        <v>1</v>
      </c>
      <c r="H171" s="8">
        <v>1</v>
      </c>
      <c r="I171" s="8">
        <v>2</v>
      </c>
      <c r="J171" s="8">
        <v>1</v>
      </c>
      <c r="K171" s="8">
        <v>0</v>
      </c>
      <c r="L171" s="8">
        <v>0</v>
      </c>
      <c r="M171" s="8">
        <v>3</v>
      </c>
      <c r="N171" s="8">
        <v>1</v>
      </c>
      <c r="O171" s="8">
        <v>1</v>
      </c>
      <c r="P171" s="8">
        <v>1</v>
      </c>
      <c r="Q171" s="8">
        <v>0</v>
      </c>
      <c r="R171" s="8">
        <v>0</v>
      </c>
      <c r="S171" s="8">
        <v>1</v>
      </c>
      <c r="T171" s="8">
        <v>0</v>
      </c>
      <c r="U171" s="8">
        <v>1</v>
      </c>
    </row>
    <row r="172" spans="1:21" x14ac:dyDescent="0.3">
      <c r="A172" s="6" t="s">
        <v>156</v>
      </c>
      <c r="B172" s="6" t="s">
        <v>180</v>
      </c>
      <c r="C172" s="6" t="s">
        <v>182</v>
      </c>
      <c r="D172" s="7">
        <f t="shared" si="2"/>
        <v>16</v>
      </c>
      <c r="E172" s="8">
        <v>1</v>
      </c>
      <c r="F172" s="8">
        <v>2</v>
      </c>
      <c r="G172" s="8">
        <v>1</v>
      </c>
      <c r="H172" s="8">
        <v>1</v>
      </c>
      <c r="I172" s="8">
        <v>3</v>
      </c>
      <c r="J172" s="8">
        <v>1</v>
      </c>
      <c r="K172" s="8">
        <v>1</v>
      </c>
      <c r="L172" s="8">
        <v>0</v>
      </c>
      <c r="M172" s="8">
        <v>1</v>
      </c>
      <c r="N172" s="8">
        <v>1</v>
      </c>
      <c r="O172" s="8">
        <v>1</v>
      </c>
      <c r="P172" s="8">
        <v>1</v>
      </c>
      <c r="Q172" s="8">
        <v>0</v>
      </c>
      <c r="R172" s="8">
        <v>0</v>
      </c>
      <c r="S172" s="8">
        <v>1</v>
      </c>
      <c r="T172" s="8">
        <v>0</v>
      </c>
      <c r="U172" s="8">
        <v>1</v>
      </c>
    </row>
    <row r="173" spans="1:21" x14ac:dyDescent="0.3">
      <c r="A173" s="6" t="str">
        <f>VLOOKUP(C173,'[1]MURATPAŞA BÖLGE'!$C:$H,6,0)</f>
        <v>VELİ GÖK</v>
      </c>
      <c r="B173" s="6" t="s">
        <v>185</v>
      </c>
      <c r="C173" s="6" t="s">
        <v>191</v>
      </c>
      <c r="D173" s="7">
        <f t="shared" si="2"/>
        <v>16</v>
      </c>
      <c r="E173" s="8">
        <v>1</v>
      </c>
      <c r="F173" s="8">
        <v>1</v>
      </c>
      <c r="G173" s="8">
        <v>1</v>
      </c>
      <c r="H173" s="8">
        <v>0</v>
      </c>
      <c r="I173" s="8">
        <v>2</v>
      </c>
      <c r="J173" s="8">
        <v>1</v>
      </c>
      <c r="K173" s="8">
        <v>1</v>
      </c>
      <c r="L173" s="8">
        <v>1</v>
      </c>
      <c r="M173" s="8">
        <v>2</v>
      </c>
      <c r="N173" s="8">
        <v>2</v>
      </c>
      <c r="O173" s="8">
        <v>1</v>
      </c>
      <c r="P173" s="8">
        <v>0</v>
      </c>
      <c r="Q173" s="8">
        <v>1</v>
      </c>
      <c r="R173" s="8">
        <v>0</v>
      </c>
      <c r="S173" s="8">
        <v>1</v>
      </c>
      <c r="T173" s="8">
        <v>0</v>
      </c>
      <c r="U173" s="8">
        <v>1</v>
      </c>
    </row>
    <row r="174" spans="1:21" x14ac:dyDescent="0.3">
      <c r="A174" s="6" t="str">
        <f>VLOOKUP(C174,'[1]MURATPAŞA BÖLGE'!$C:$H,6,0)</f>
        <v>VELİ GÖK</v>
      </c>
      <c r="B174" s="6" t="str">
        <f>VLOOKUP(C174,'[1]MURATPAŞA BÖLGE'!$C:$G,5,0)</f>
        <v>KERİM YÜREKLİ</v>
      </c>
      <c r="C174" s="6" t="s">
        <v>173</v>
      </c>
      <c r="D174" s="7">
        <f t="shared" si="2"/>
        <v>14</v>
      </c>
      <c r="E174" s="8">
        <v>1</v>
      </c>
      <c r="F174" s="8">
        <v>1</v>
      </c>
      <c r="G174" s="8">
        <v>1</v>
      </c>
      <c r="H174" s="8">
        <v>1</v>
      </c>
      <c r="I174" s="8">
        <v>2</v>
      </c>
      <c r="J174" s="8">
        <v>2</v>
      </c>
      <c r="K174" s="8">
        <v>1</v>
      </c>
      <c r="L174" s="8">
        <v>0</v>
      </c>
      <c r="M174" s="8">
        <v>0</v>
      </c>
      <c r="N174" s="8">
        <v>2</v>
      </c>
      <c r="O174" s="8">
        <v>0</v>
      </c>
      <c r="P174" s="8">
        <v>1</v>
      </c>
      <c r="Q174" s="8">
        <v>0</v>
      </c>
      <c r="R174" s="8">
        <v>1</v>
      </c>
      <c r="S174" s="8">
        <v>0</v>
      </c>
      <c r="T174" s="8">
        <v>0</v>
      </c>
      <c r="U174" s="8">
        <v>1</v>
      </c>
    </row>
    <row r="175" spans="1:21" x14ac:dyDescent="0.3">
      <c r="A175" s="6" t="str">
        <f>VLOOKUP(C175,'[1]MURATPAŞA BÖLGE'!$C:$H,6,0)</f>
        <v>VELİ GÖK</v>
      </c>
      <c r="B175" s="6" t="str">
        <f>VLOOKUP(C175,'[1]MURATPAŞA BÖLGE'!$C:$G,5,0)</f>
        <v>KERİM YÜREKLİ</v>
      </c>
      <c r="C175" s="6" t="s">
        <v>175</v>
      </c>
      <c r="D175" s="7">
        <f t="shared" si="2"/>
        <v>14</v>
      </c>
      <c r="E175" s="8">
        <v>1</v>
      </c>
      <c r="F175" s="8">
        <v>1</v>
      </c>
      <c r="G175" s="8">
        <v>0</v>
      </c>
      <c r="H175" s="8">
        <v>1</v>
      </c>
      <c r="I175" s="8">
        <v>3</v>
      </c>
      <c r="J175" s="8">
        <v>1</v>
      </c>
      <c r="K175" s="8">
        <v>0</v>
      </c>
      <c r="L175" s="8">
        <v>0</v>
      </c>
      <c r="M175" s="8">
        <v>2</v>
      </c>
      <c r="N175" s="8">
        <v>1</v>
      </c>
      <c r="O175" s="8">
        <v>1</v>
      </c>
      <c r="P175" s="8">
        <v>1</v>
      </c>
      <c r="Q175" s="8">
        <v>0</v>
      </c>
      <c r="R175" s="8">
        <v>0</v>
      </c>
      <c r="S175" s="8">
        <v>1</v>
      </c>
      <c r="T175" s="8">
        <v>0</v>
      </c>
      <c r="U175" s="8">
        <v>1</v>
      </c>
    </row>
    <row r="176" spans="1:21" x14ac:dyDescent="0.3">
      <c r="A176" s="6" t="str">
        <f>VLOOKUP(C176,'[1]MURATPAŞA BÖLGE'!$C:$H,6,0)</f>
        <v>VELİ GÖK</v>
      </c>
      <c r="B176" s="6" t="str">
        <f>VLOOKUP(C176,'[1]MURATPAŞA BÖLGE'!$C:$G,5,0)</f>
        <v>SALİH SERKAN ERÇİN</v>
      </c>
      <c r="C176" s="6" t="s">
        <v>179</v>
      </c>
      <c r="D176" s="7">
        <f t="shared" si="2"/>
        <v>14</v>
      </c>
      <c r="E176" s="8">
        <v>1</v>
      </c>
      <c r="F176" s="8">
        <v>1</v>
      </c>
      <c r="G176" s="8">
        <v>1</v>
      </c>
      <c r="H176" s="8">
        <v>1</v>
      </c>
      <c r="I176" s="8">
        <v>2</v>
      </c>
      <c r="J176" s="8">
        <v>1</v>
      </c>
      <c r="K176" s="8">
        <v>0</v>
      </c>
      <c r="L176" s="8">
        <v>0</v>
      </c>
      <c r="M176" s="8">
        <v>2</v>
      </c>
      <c r="N176" s="8">
        <v>1</v>
      </c>
      <c r="O176" s="8">
        <v>1</v>
      </c>
      <c r="P176" s="8">
        <v>1</v>
      </c>
      <c r="Q176" s="8">
        <v>0</v>
      </c>
      <c r="R176" s="8">
        <v>0</v>
      </c>
      <c r="S176" s="8">
        <v>1</v>
      </c>
      <c r="T176" s="8">
        <v>0</v>
      </c>
      <c r="U176" s="8">
        <v>1</v>
      </c>
    </row>
    <row r="177" spans="1:21" x14ac:dyDescent="0.3">
      <c r="A177" s="6" t="str">
        <f>VLOOKUP(C177,'[1]MURATPAŞA BÖLGE'!$C:$H,6,0)</f>
        <v>VELİ GÖK</v>
      </c>
      <c r="B177" s="6" t="str">
        <f>VLOOKUP(C177,'[1]MURATPAŞA BÖLGE'!$C:$G,5,0)</f>
        <v>ABDULLAH BAY</v>
      </c>
      <c r="C177" s="6" t="s">
        <v>150</v>
      </c>
      <c r="D177" s="7">
        <f t="shared" si="2"/>
        <v>13</v>
      </c>
      <c r="E177" s="8">
        <v>1</v>
      </c>
      <c r="F177" s="8">
        <v>2</v>
      </c>
      <c r="G177" s="8">
        <v>0</v>
      </c>
      <c r="H177" s="8">
        <v>1</v>
      </c>
      <c r="I177" s="8">
        <v>4</v>
      </c>
      <c r="J177" s="8">
        <v>1</v>
      </c>
      <c r="K177" s="8">
        <v>1</v>
      </c>
      <c r="L177" s="8">
        <v>0</v>
      </c>
      <c r="M177" s="8">
        <v>1</v>
      </c>
      <c r="N177" s="8">
        <v>1</v>
      </c>
      <c r="O177" s="8">
        <v>1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</row>
    <row r="178" spans="1:21" x14ac:dyDescent="0.3">
      <c r="A178" s="6" t="str">
        <f>VLOOKUP(C178,'[1]MURATPAŞA BÖLGE'!$C:$H,6,0)</f>
        <v>VELİ GÖK</v>
      </c>
      <c r="B178" s="6" t="str">
        <f>VLOOKUP(C178,'[1]MURATPAŞA BÖLGE'!$C:$G,5,0)</f>
        <v>ÇAĞRI YALÇIN</v>
      </c>
      <c r="C178" s="6" t="s">
        <v>155</v>
      </c>
      <c r="D178" s="7">
        <f t="shared" si="2"/>
        <v>13</v>
      </c>
      <c r="E178" s="8">
        <v>1</v>
      </c>
      <c r="F178" s="8">
        <v>1</v>
      </c>
      <c r="G178" s="8">
        <v>1</v>
      </c>
      <c r="H178" s="8">
        <v>1</v>
      </c>
      <c r="I178" s="8">
        <v>2</v>
      </c>
      <c r="J178" s="8">
        <v>1</v>
      </c>
      <c r="K178" s="8">
        <v>1</v>
      </c>
      <c r="L178" s="8">
        <v>0</v>
      </c>
      <c r="M178" s="8">
        <v>1</v>
      </c>
      <c r="N178" s="8">
        <v>1</v>
      </c>
      <c r="O178" s="8">
        <v>2</v>
      </c>
      <c r="P178" s="8">
        <v>0</v>
      </c>
      <c r="Q178" s="8">
        <v>1</v>
      </c>
      <c r="R178" s="8">
        <v>0</v>
      </c>
      <c r="S178" s="8">
        <v>0</v>
      </c>
      <c r="T178" s="8">
        <v>0</v>
      </c>
      <c r="U178" s="8">
        <v>0</v>
      </c>
    </row>
    <row r="179" spans="1:21" x14ac:dyDescent="0.3">
      <c r="A179" s="6" t="str">
        <f>VLOOKUP(C179,'[1]MURATPAŞA BÖLGE'!$C:$H,6,0)</f>
        <v>VELİ GÖK</v>
      </c>
      <c r="B179" s="6" t="s">
        <v>161</v>
      </c>
      <c r="C179" s="6" t="s">
        <v>167</v>
      </c>
      <c r="D179" s="7">
        <f t="shared" si="2"/>
        <v>13</v>
      </c>
      <c r="E179" s="8">
        <v>1</v>
      </c>
      <c r="F179" s="8">
        <v>1</v>
      </c>
      <c r="G179" s="8">
        <v>1</v>
      </c>
      <c r="H179" s="8">
        <v>1</v>
      </c>
      <c r="I179" s="8">
        <v>2</v>
      </c>
      <c r="J179" s="8">
        <v>0</v>
      </c>
      <c r="K179" s="8">
        <v>1</v>
      </c>
      <c r="L179" s="8">
        <v>0</v>
      </c>
      <c r="M179" s="8">
        <v>1</v>
      </c>
      <c r="N179" s="8">
        <v>1</v>
      </c>
      <c r="O179" s="8">
        <v>1</v>
      </c>
      <c r="P179" s="8">
        <v>1</v>
      </c>
      <c r="Q179" s="8">
        <v>1</v>
      </c>
      <c r="R179" s="8">
        <v>0</v>
      </c>
      <c r="S179" s="8">
        <v>0</v>
      </c>
      <c r="T179" s="8">
        <v>0</v>
      </c>
      <c r="U179" s="8">
        <v>1</v>
      </c>
    </row>
    <row r="180" spans="1:21" x14ac:dyDescent="0.3">
      <c r="A180" s="6" t="str">
        <f>VLOOKUP(C180,'[1]MURATPAŞA BÖLGE'!$C:$H,6,0)</f>
        <v>VELİ GÖK</v>
      </c>
      <c r="B180" s="6" t="str">
        <f>VLOOKUP(C180,'[1]MURATPAŞA BÖLGE'!$C:$G,5,0)</f>
        <v>KERİM YÜREKLİ</v>
      </c>
      <c r="C180" s="6" t="s">
        <v>174</v>
      </c>
      <c r="D180" s="7">
        <f t="shared" si="2"/>
        <v>12</v>
      </c>
      <c r="E180" s="8">
        <v>1</v>
      </c>
      <c r="F180" s="8">
        <v>1</v>
      </c>
      <c r="G180" s="8">
        <v>0</v>
      </c>
      <c r="H180" s="8">
        <v>1</v>
      </c>
      <c r="I180" s="8">
        <v>3</v>
      </c>
      <c r="J180" s="8">
        <v>1</v>
      </c>
      <c r="K180" s="8">
        <v>1</v>
      </c>
      <c r="L180" s="8">
        <v>0</v>
      </c>
      <c r="M180" s="8">
        <v>2</v>
      </c>
      <c r="N180" s="8">
        <v>1</v>
      </c>
      <c r="O180" s="8">
        <v>1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</row>
    <row r="181" spans="1:21" x14ac:dyDescent="0.3">
      <c r="A181" s="6" t="str">
        <f>VLOOKUP(C181,'[1]MURATPAŞA BÖLGE'!$C:$H,6,0)</f>
        <v>VELİ GÖK</v>
      </c>
      <c r="B181" s="6" t="str">
        <f>VLOOKUP(C181,'[1]MURATPAŞA BÖLGE'!$C:$G,5,0)</f>
        <v>SALİH SERKAN ERÇİN</v>
      </c>
      <c r="C181" s="6" t="s">
        <v>178</v>
      </c>
      <c r="D181" s="7">
        <f t="shared" si="2"/>
        <v>12</v>
      </c>
      <c r="E181" s="8">
        <v>1</v>
      </c>
      <c r="F181" s="8">
        <v>1</v>
      </c>
      <c r="G181" s="8">
        <v>1</v>
      </c>
      <c r="H181" s="8">
        <v>1</v>
      </c>
      <c r="I181" s="8">
        <v>2</v>
      </c>
      <c r="J181" s="8">
        <v>1</v>
      </c>
      <c r="K181" s="8">
        <v>0</v>
      </c>
      <c r="L181" s="8">
        <v>0</v>
      </c>
      <c r="M181" s="8">
        <v>1</v>
      </c>
      <c r="N181" s="8">
        <v>1</v>
      </c>
      <c r="O181" s="8">
        <v>1</v>
      </c>
      <c r="P181" s="8">
        <v>1</v>
      </c>
      <c r="Q181" s="8">
        <v>0</v>
      </c>
      <c r="R181" s="8">
        <v>0</v>
      </c>
      <c r="S181" s="8">
        <v>0</v>
      </c>
      <c r="T181" s="8">
        <v>0</v>
      </c>
      <c r="U181" s="8">
        <v>1</v>
      </c>
    </row>
    <row r="182" spans="1:21" x14ac:dyDescent="0.3">
      <c r="A182" s="6" t="str">
        <f>VLOOKUP(C182,'[1]MURATPAŞA BÖLGE'!$C:$H,6,0)</f>
        <v>VELİ GÖK</v>
      </c>
      <c r="B182" s="6" t="s">
        <v>185</v>
      </c>
      <c r="C182" s="6" t="s">
        <v>190</v>
      </c>
      <c r="D182" s="7">
        <f t="shared" si="2"/>
        <v>12</v>
      </c>
      <c r="E182" s="8">
        <v>1</v>
      </c>
      <c r="F182" s="8">
        <v>1</v>
      </c>
      <c r="G182" s="8">
        <v>1</v>
      </c>
      <c r="H182" s="8">
        <v>1</v>
      </c>
      <c r="I182" s="8">
        <v>2</v>
      </c>
      <c r="J182" s="8">
        <v>1</v>
      </c>
      <c r="K182" s="8">
        <v>0</v>
      </c>
      <c r="L182" s="8">
        <v>0</v>
      </c>
      <c r="M182" s="8">
        <v>2</v>
      </c>
      <c r="N182" s="8">
        <v>0</v>
      </c>
      <c r="O182" s="8">
        <v>1</v>
      </c>
      <c r="P182" s="8">
        <v>0</v>
      </c>
      <c r="Q182" s="8">
        <v>0</v>
      </c>
      <c r="R182" s="8">
        <v>0</v>
      </c>
      <c r="S182" s="8">
        <v>1</v>
      </c>
      <c r="T182" s="8">
        <v>0</v>
      </c>
      <c r="U182" s="8">
        <v>1</v>
      </c>
    </row>
    <row r="183" spans="1:21" x14ac:dyDescent="0.3">
      <c r="A183" s="6" t="s">
        <v>156</v>
      </c>
      <c r="B183" s="6" t="s">
        <v>199</v>
      </c>
      <c r="C183" s="6" t="s">
        <v>200</v>
      </c>
      <c r="D183" s="7">
        <f t="shared" si="2"/>
        <v>12</v>
      </c>
      <c r="E183" s="8">
        <v>1</v>
      </c>
      <c r="F183" s="8">
        <v>0</v>
      </c>
      <c r="G183" s="8">
        <v>1</v>
      </c>
      <c r="H183" s="8">
        <v>1</v>
      </c>
      <c r="I183" s="8">
        <v>2</v>
      </c>
      <c r="J183" s="8">
        <v>1</v>
      </c>
      <c r="K183" s="8">
        <v>0</v>
      </c>
      <c r="L183" s="8">
        <v>0</v>
      </c>
      <c r="M183" s="8">
        <v>1</v>
      </c>
      <c r="N183" s="8">
        <v>1</v>
      </c>
      <c r="O183" s="8">
        <v>1</v>
      </c>
      <c r="P183" s="8">
        <v>1</v>
      </c>
      <c r="Q183" s="8">
        <v>1</v>
      </c>
      <c r="R183" s="8">
        <v>0</v>
      </c>
      <c r="S183" s="8">
        <v>0</v>
      </c>
      <c r="T183" s="8">
        <v>0</v>
      </c>
      <c r="U183" s="8">
        <v>1</v>
      </c>
    </row>
    <row r="184" spans="1:21" x14ac:dyDescent="0.3">
      <c r="A184" s="6" t="str">
        <f>VLOOKUP(C184,'[1]MURATPAŞA BÖLGE'!$C:$H,6,0)</f>
        <v>VELİ GÖK</v>
      </c>
      <c r="B184" s="6" t="str">
        <f>VLOOKUP(C184,'[1]MURATPAŞA BÖLGE'!$C:$G,5,0)</f>
        <v>ABDULLAH BAY</v>
      </c>
      <c r="C184" s="6" t="s">
        <v>151</v>
      </c>
      <c r="D184" s="7">
        <f t="shared" si="2"/>
        <v>11</v>
      </c>
      <c r="E184" s="8">
        <v>1</v>
      </c>
      <c r="F184" s="8">
        <v>1</v>
      </c>
      <c r="G184" s="8">
        <v>0</v>
      </c>
      <c r="H184" s="8">
        <v>0</v>
      </c>
      <c r="I184" s="8">
        <v>3</v>
      </c>
      <c r="J184" s="8">
        <v>1</v>
      </c>
      <c r="K184" s="8">
        <v>0</v>
      </c>
      <c r="L184" s="8">
        <v>0</v>
      </c>
      <c r="M184" s="8">
        <v>1</v>
      </c>
      <c r="N184" s="8">
        <v>2</v>
      </c>
      <c r="O184" s="8">
        <v>1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</row>
    <row r="185" spans="1:21" x14ac:dyDescent="0.3">
      <c r="A185" s="6" t="str">
        <f>VLOOKUP(C185,'[1]MURATPAŞA BÖLGE'!$C:$H,6,0)</f>
        <v>VELİ GÖK</v>
      </c>
      <c r="B185" s="6" t="str">
        <f>VLOOKUP(C185,'[1]MURATPAŞA BÖLGE'!$C:$G,5,0)</f>
        <v>ÇAĞRI YALÇIN</v>
      </c>
      <c r="C185" s="6" t="s">
        <v>154</v>
      </c>
      <c r="D185" s="7">
        <f t="shared" si="2"/>
        <v>11</v>
      </c>
      <c r="E185" s="8">
        <v>1</v>
      </c>
      <c r="F185" s="8">
        <v>1</v>
      </c>
      <c r="G185" s="8">
        <v>1</v>
      </c>
      <c r="H185" s="8">
        <v>1</v>
      </c>
      <c r="I185" s="8">
        <v>3</v>
      </c>
      <c r="J185" s="8">
        <v>1</v>
      </c>
      <c r="K185" s="8">
        <v>0</v>
      </c>
      <c r="L185" s="8">
        <v>0</v>
      </c>
      <c r="M185" s="8">
        <v>1</v>
      </c>
      <c r="N185" s="8">
        <v>1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</row>
    <row r="186" spans="1:21" x14ac:dyDescent="0.3">
      <c r="A186" s="6" t="str">
        <f>VLOOKUP(C186,'[1]MURATPAŞA BÖLGE'!$C:$H,6,0)</f>
        <v>VELİ GÖK</v>
      </c>
      <c r="B186" s="6" t="s">
        <v>185</v>
      </c>
      <c r="C186" s="6" t="s">
        <v>189</v>
      </c>
      <c r="D186" s="7">
        <f t="shared" si="2"/>
        <v>11</v>
      </c>
      <c r="E186" s="8">
        <v>0</v>
      </c>
      <c r="F186" s="8">
        <v>1</v>
      </c>
      <c r="G186" s="8">
        <v>0</v>
      </c>
      <c r="H186" s="8">
        <v>1</v>
      </c>
      <c r="I186" s="8">
        <v>1</v>
      </c>
      <c r="J186" s="8">
        <v>1</v>
      </c>
      <c r="K186" s="8">
        <v>0</v>
      </c>
      <c r="L186" s="8">
        <v>0</v>
      </c>
      <c r="M186" s="8">
        <v>3</v>
      </c>
      <c r="N186" s="8">
        <v>0</v>
      </c>
      <c r="O186" s="8">
        <v>1</v>
      </c>
      <c r="P186" s="8">
        <v>0</v>
      </c>
      <c r="Q186" s="8">
        <v>1</v>
      </c>
      <c r="R186" s="8">
        <v>0</v>
      </c>
      <c r="S186" s="8">
        <v>1</v>
      </c>
      <c r="T186" s="8">
        <v>0</v>
      </c>
      <c r="U186" s="8">
        <v>1</v>
      </c>
    </row>
    <row r="187" spans="1:21" x14ac:dyDescent="0.3">
      <c r="A187" s="6" t="str">
        <f>VLOOKUP(C187,'[1]MURATPAŞA BÖLGE'!$C:$H,6,0)</f>
        <v>VELİ GÖK</v>
      </c>
      <c r="B187" s="6" t="str">
        <f>VLOOKUP(C187,'[1]MURATPAŞA BÖLGE'!$C:$G,5,0)</f>
        <v>TUĞÇE KOCABAŞ</v>
      </c>
      <c r="C187" s="6" t="s">
        <v>196</v>
      </c>
      <c r="D187" s="7">
        <f t="shared" si="2"/>
        <v>11</v>
      </c>
      <c r="E187" s="8">
        <v>1</v>
      </c>
      <c r="F187" s="8">
        <v>0</v>
      </c>
      <c r="G187" s="8">
        <v>1</v>
      </c>
      <c r="H187" s="8">
        <v>1</v>
      </c>
      <c r="I187" s="8">
        <v>2</v>
      </c>
      <c r="J187" s="8">
        <v>1</v>
      </c>
      <c r="K187" s="8">
        <v>1</v>
      </c>
      <c r="L187" s="8">
        <v>1</v>
      </c>
      <c r="M187" s="8">
        <v>0</v>
      </c>
      <c r="N187" s="8">
        <v>0</v>
      </c>
      <c r="O187" s="8">
        <v>1</v>
      </c>
      <c r="P187" s="8">
        <v>0</v>
      </c>
      <c r="Q187" s="8">
        <v>2</v>
      </c>
      <c r="R187" s="8">
        <v>0</v>
      </c>
      <c r="S187" s="8">
        <v>0</v>
      </c>
      <c r="T187" s="8">
        <v>0</v>
      </c>
      <c r="U187" s="8">
        <v>0</v>
      </c>
    </row>
    <row r="188" spans="1:21" x14ac:dyDescent="0.3">
      <c r="A188" s="6" t="str">
        <f>VLOOKUP(C188,'[1]MURATPAŞA BÖLGE'!$C:$H,6,0)</f>
        <v>VELİ GÖK</v>
      </c>
      <c r="B188" s="6" t="str">
        <f>VLOOKUP(C188,'[1]MURATPAŞA BÖLGE'!$C:$G,5,0)</f>
        <v>KERİM YÜREKLİ</v>
      </c>
      <c r="C188" s="6" t="s">
        <v>172</v>
      </c>
      <c r="D188" s="7">
        <f t="shared" si="2"/>
        <v>10</v>
      </c>
      <c r="E188" s="8">
        <v>0</v>
      </c>
      <c r="F188" s="8">
        <v>1</v>
      </c>
      <c r="G188" s="8">
        <v>1</v>
      </c>
      <c r="H188" s="8">
        <v>0</v>
      </c>
      <c r="I188" s="8">
        <v>2</v>
      </c>
      <c r="J188" s="8">
        <v>1</v>
      </c>
      <c r="K188" s="8">
        <v>1</v>
      </c>
      <c r="L188" s="8">
        <v>0</v>
      </c>
      <c r="M188" s="8">
        <v>1</v>
      </c>
      <c r="N188" s="8">
        <v>1</v>
      </c>
      <c r="O188" s="8">
        <v>1</v>
      </c>
      <c r="P188" s="8">
        <v>1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</row>
    <row r="189" spans="1:21" x14ac:dyDescent="0.3">
      <c r="A189" s="6" t="str">
        <f>VLOOKUP(C189,'[1]MURATPAŞA BÖLGE'!$C:$H,6,0)</f>
        <v>VELİ GÖK</v>
      </c>
      <c r="B189" s="6" t="s">
        <v>185</v>
      </c>
      <c r="C189" s="6" t="s">
        <v>188</v>
      </c>
      <c r="D189" s="7">
        <f t="shared" si="2"/>
        <v>9</v>
      </c>
      <c r="E189" s="8">
        <v>0</v>
      </c>
      <c r="F189" s="8">
        <v>1</v>
      </c>
      <c r="G189" s="8">
        <v>0</v>
      </c>
      <c r="H189" s="8">
        <v>1</v>
      </c>
      <c r="I189" s="8">
        <v>1</v>
      </c>
      <c r="J189" s="8">
        <v>0</v>
      </c>
      <c r="K189" s="8">
        <v>0</v>
      </c>
      <c r="L189" s="8">
        <v>0</v>
      </c>
      <c r="M189" s="8">
        <v>0</v>
      </c>
      <c r="N189" s="8">
        <v>1</v>
      </c>
      <c r="O189" s="8">
        <v>1</v>
      </c>
      <c r="P189" s="8">
        <v>0</v>
      </c>
      <c r="Q189" s="8">
        <v>1</v>
      </c>
      <c r="R189" s="8">
        <v>0</v>
      </c>
      <c r="S189" s="8">
        <v>1</v>
      </c>
      <c r="T189" s="8">
        <v>1</v>
      </c>
      <c r="U189" s="8">
        <v>1</v>
      </c>
    </row>
    <row r="190" spans="1:21" x14ac:dyDescent="0.3">
      <c r="A190" s="6" t="str">
        <f>VLOOKUP(C190,'[1]MURATPAŞA BÖLGE'!$C:$H,6,0)</f>
        <v>VELİ GÖK</v>
      </c>
      <c r="B190" s="6" t="str">
        <f>VLOOKUP(C190,'[1]MURATPAŞA BÖLGE'!$C:$G,5,0)</f>
        <v>ÇAĞRI YALÇIN</v>
      </c>
      <c r="C190" s="6" t="s">
        <v>152</v>
      </c>
      <c r="D190" s="7">
        <f t="shared" si="2"/>
        <v>8</v>
      </c>
      <c r="E190" s="8">
        <v>1</v>
      </c>
      <c r="F190" s="8">
        <v>1</v>
      </c>
      <c r="G190" s="8">
        <v>0</v>
      </c>
      <c r="H190" s="8">
        <v>1</v>
      </c>
      <c r="I190" s="8">
        <v>2</v>
      </c>
      <c r="J190" s="8">
        <v>1</v>
      </c>
      <c r="K190" s="8">
        <v>0</v>
      </c>
      <c r="L190" s="8">
        <v>0</v>
      </c>
      <c r="M190" s="8">
        <v>1</v>
      </c>
      <c r="N190" s="8">
        <v>0</v>
      </c>
      <c r="O190" s="8">
        <v>0</v>
      </c>
      <c r="P190" s="8">
        <v>0</v>
      </c>
      <c r="Q190" s="8">
        <v>1</v>
      </c>
      <c r="R190" s="8">
        <v>0</v>
      </c>
      <c r="S190" s="8">
        <v>0</v>
      </c>
      <c r="T190" s="8">
        <v>0</v>
      </c>
      <c r="U190" s="8">
        <v>0</v>
      </c>
    </row>
    <row r="191" spans="1:21" x14ac:dyDescent="0.3">
      <c r="A191" s="6" t="str">
        <f>VLOOKUP(C191,'[1]MURATPAŞA BÖLGE'!$C:$H,6,0)</f>
        <v>VELİ GÖK</v>
      </c>
      <c r="B191" s="6" t="str">
        <f>VLOOKUP(C191,'[1]MURATPAŞA BÖLGE'!$C:$G,5,0)</f>
        <v>ÇAĞRI YALÇIN</v>
      </c>
      <c r="C191" s="6" t="s">
        <v>153</v>
      </c>
      <c r="D191" s="7">
        <f t="shared" si="2"/>
        <v>8</v>
      </c>
      <c r="E191" s="8">
        <v>0</v>
      </c>
      <c r="F191" s="8">
        <v>2</v>
      </c>
      <c r="G191" s="8">
        <v>0</v>
      </c>
      <c r="H191" s="8">
        <v>1</v>
      </c>
      <c r="I191" s="8">
        <v>1</v>
      </c>
      <c r="J191" s="8">
        <v>1</v>
      </c>
      <c r="K191" s="8">
        <v>0</v>
      </c>
      <c r="L191" s="8">
        <v>1</v>
      </c>
      <c r="M191" s="8">
        <v>0</v>
      </c>
      <c r="N191" s="8">
        <v>1</v>
      </c>
      <c r="O191" s="8">
        <v>0</v>
      </c>
      <c r="P191" s="8">
        <v>0</v>
      </c>
      <c r="Q191" s="8">
        <v>1</v>
      </c>
      <c r="R191" s="8">
        <v>0</v>
      </c>
      <c r="S191" s="8">
        <v>0</v>
      </c>
      <c r="T191" s="8">
        <v>0</v>
      </c>
      <c r="U191" s="8">
        <v>0</v>
      </c>
    </row>
    <row r="192" spans="1:21" x14ac:dyDescent="0.3">
      <c r="A192" s="6" t="str">
        <f>VLOOKUP(C192,'[1]MURATPAŞA BÖLGE'!$C:$H,6,0)</f>
        <v>VELİ GÖK</v>
      </c>
      <c r="B192" s="6" t="s">
        <v>161</v>
      </c>
      <c r="C192" s="6" t="s">
        <v>164</v>
      </c>
      <c r="D192" s="7">
        <f t="shared" si="2"/>
        <v>8</v>
      </c>
      <c r="E192" s="8">
        <v>1</v>
      </c>
      <c r="F192" s="8">
        <v>0</v>
      </c>
      <c r="G192" s="8">
        <v>1</v>
      </c>
      <c r="H192" s="8">
        <v>1</v>
      </c>
      <c r="I192" s="8">
        <v>1</v>
      </c>
      <c r="J192" s="8">
        <v>0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2</v>
      </c>
      <c r="R192" s="8">
        <v>0</v>
      </c>
      <c r="S192" s="8">
        <v>0</v>
      </c>
      <c r="T192" s="8">
        <v>0</v>
      </c>
      <c r="U192" s="8">
        <v>0</v>
      </c>
    </row>
    <row r="193" spans="1:21" x14ac:dyDescent="0.3">
      <c r="A193" s="6" t="str">
        <f>VLOOKUP(C193,'[1]MURATPAŞA BÖLGE'!$C:$H,6,0)</f>
        <v>VELİ GÖK</v>
      </c>
      <c r="B193" s="6" t="s">
        <v>161</v>
      </c>
      <c r="C193" s="6" t="s">
        <v>165</v>
      </c>
      <c r="D193" s="7">
        <f t="shared" si="2"/>
        <v>8</v>
      </c>
      <c r="E193" s="8">
        <v>1</v>
      </c>
      <c r="F193" s="8">
        <v>1</v>
      </c>
      <c r="G193" s="8">
        <v>0</v>
      </c>
      <c r="H193" s="8">
        <v>1</v>
      </c>
      <c r="I193" s="8">
        <v>1</v>
      </c>
      <c r="J193" s="8">
        <v>1</v>
      </c>
      <c r="K193" s="8">
        <v>0</v>
      </c>
      <c r="L193" s="8">
        <v>1</v>
      </c>
      <c r="M193" s="8">
        <v>0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1</v>
      </c>
      <c r="T193" s="8">
        <v>0</v>
      </c>
      <c r="U193" s="8">
        <v>0</v>
      </c>
    </row>
    <row r="194" spans="1:21" x14ac:dyDescent="0.3">
      <c r="A194" s="6" t="s">
        <v>156</v>
      </c>
      <c r="B194" s="6" t="s">
        <v>161</v>
      </c>
      <c r="C194" s="6" t="s">
        <v>166</v>
      </c>
      <c r="D194" s="7">
        <f t="shared" ref="D194:D257" si="3">SUBTOTAL(9,E194:U194)</f>
        <v>8</v>
      </c>
      <c r="E194" s="8">
        <v>1</v>
      </c>
      <c r="F194" s="8">
        <v>1</v>
      </c>
      <c r="G194" s="8">
        <v>1</v>
      </c>
      <c r="H194" s="8">
        <v>1</v>
      </c>
      <c r="I194" s="8">
        <v>3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</row>
    <row r="195" spans="1:21" x14ac:dyDescent="0.3">
      <c r="A195" s="6" t="str">
        <f>VLOOKUP(C195,'[1]MURATPAŞA BÖLGE'!$C:$H,6,0)</f>
        <v>VELİ GÖK</v>
      </c>
      <c r="B195" s="6" t="str">
        <f>VLOOKUP(C195,'[1]MURATPAŞA BÖLGE'!$C:$G,5,0)</f>
        <v>TUĞÇE KOCABAŞ</v>
      </c>
      <c r="C195" s="6" t="s">
        <v>195</v>
      </c>
      <c r="D195" s="7">
        <f t="shared" si="3"/>
        <v>8</v>
      </c>
      <c r="E195" s="8">
        <v>1</v>
      </c>
      <c r="F195" s="8">
        <v>0</v>
      </c>
      <c r="G195" s="8">
        <v>1</v>
      </c>
      <c r="H195" s="8">
        <v>1</v>
      </c>
      <c r="I195" s="8">
        <v>1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2</v>
      </c>
      <c r="R195" s="8">
        <v>0</v>
      </c>
      <c r="S195" s="8">
        <v>1</v>
      </c>
      <c r="T195" s="8">
        <v>0</v>
      </c>
      <c r="U195" s="8">
        <v>1</v>
      </c>
    </row>
    <row r="196" spans="1:21" x14ac:dyDescent="0.3">
      <c r="A196" s="6" t="str">
        <f>VLOOKUP(C196,'[1]MURATPAŞA BÖLGE'!$C:$H,6,0)</f>
        <v>VELİ GÖK</v>
      </c>
      <c r="B196" s="6" t="str">
        <f>VLOOKUP(C196,'[1]MURATPAŞA BÖLGE'!$C:$G,5,0)</f>
        <v>TUĞÇE KOCABAŞ</v>
      </c>
      <c r="C196" s="6" t="s">
        <v>198</v>
      </c>
      <c r="D196" s="7">
        <f t="shared" si="3"/>
        <v>8</v>
      </c>
      <c r="E196" s="8">
        <v>1</v>
      </c>
      <c r="F196" s="8">
        <v>1</v>
      </c>
      <c r="G196" s="8">
        <v>1</v>
      </c>
      <c r="H196" s="8">
        <v>1</v>
      </c>
      <c r="I196" s="8">
        <v>1</v>
      </c>
      <c r="J196" s="8">
        <v>0</v>
      </c>
      <c r="K196" s="8">
        <v>0</v>
      </c>
      <c r="L196" s="8">
        <v>0</v>
      </c>
      <c r="M196" s="8">
        <v>1</v>
      </c>
      <c r="N196" s="8">
        <v>1</v>
      </c>
      <c r="O196" s="8">
        <v>1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</row>
    <row r="197" spans="1:21" x14ac:dyDescent="0.3">
      <c r="A197" s="6" t="str">
        <f>VLOOKUP(C197,'[1]MURATPAŞA BÖLGE'!$C:$H,6,0)</f>
        <v>VELİ GÖK</v>
      </c>
      <c r="B197" s="6" t="str">
        <f>VLOOKUP(C197,'[1]MURATPAŞA BÖLGE'!$C:$G,5,0)</f>
        <v>ABDULLAH BAY</v>
      </c>
      <c r="C197" s="6" t="s">
        <v>148</v>
      </c>
      <c r="D197" s="7">
        <f t="shared" si="3"/>
        <v>7</v>
      </c>
      <c r="E197" s="8">
        <v>1</v>
      </c>
      <c r="F197" s="8">
        <v>1</v>
      </c>
      <c r="G197" s="8">
        <v>0</v>
      </c>
      <c r="H197" s="8">
        <v>1</v>
      </c>
      <c r="I197" s="8">
        <v>3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1</v>
      </c>
    </row>
    <row r="198" spans="1:21" x14ac:dyDescent="0.3">
      <c r="A198" s="6" t="str">
        <f>VLOOKUP(C198,'[1]MURATPAŞA BÖLGE'!$C:$H,6,0)</f>
        <v>VELİ GÖK</v>
      </c>
      <c r="B198" s="6" t="s">
        <v>161</v>
      </c>
      <c r="C198" s="9" t="s">
        <v>163</v>
      </c>
      <c r="D198" s="7">
        <f t="shared" si="3"/>
        <v>7</v>
      </c>
      <c r="E198" s="8">
        <v>0</v>
      </c>
      <c r="F198" s="8">
        <v>1</v>
      </c>
      <c r="G198" s="8">
        <v>0</v>
      </c>
      <c r="H198" s="8">
        <v>1</v>
      </c>
      <c r="I198" s="8">
        <v>2</v>
      </c>
      <c r="J198" s="8">
        <v>1</v>
      </c>
      <c r="K198" s="8">
        <v>0</v>
      </c>
      <c r="L198" s="8">
        <v>1</v>
      </c>
      <c r="M198" s="8">
        <v>0</v>
      </c>
      <c r="N198" s="8">
        <v>0</v>
      </c>
      <c r="O198" s="8">
        <v>0</v>
      </c>
      <c r="P198" s="8">
        <v>1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</row>
    <row r="199" spans="1:21" x14ac:dyDescent="0.3">
      <c r="A199" s="6" t="str">
        <f>VLOOKUP(C199,'[1]MURATPAŞA BÖLGE'!$C:$H,6,0)</f>
        <v>VELİ GÖK</v>
      </c>
      <c r="B199" s="6" t="str">
        <f>VLOOKUP(C199,'[1]MURATPAŞA BÖLGE'!$C:$G,5,0)</f>
        <v>SALİH SERKAN ERÇİN</v>
      </c>
      <c r="C199" s="6" t="s">
        <v>176</v>
      </c>
      <c r="D199" s="7">
        <f t="shared" si="3"/>
        <v>7</v>
      </c>
      <c r="E199" s="8">
        <v>0</v>
      </c>
      <c r="F199" s="8">
        <v>0</v>
      </c>
      <c r="G199" s="8">
        <v>0</v>
      </c>
      <c r="H199" s="8">
        <v>0</v>
      </c>
      <c r="I199" s="8">
        <v>2</v>
      </c>
      <c r="J199" s="8">
        <v>1</v>
      </c>
      <c r="K199" s="8">
        <v>1</v>
      </c>
      <c r="L199" s="8">
        <v>1</v>
      </c>
      <c r="M199" s="8">
        <v>0</v>
      </c>
      <c r="N199" s="8">
        <v>1</v>
      </c>
      <c r="O199" s="8">
        <v>1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</row>
    <row r="200" spans="1:21" x14ac:dyDescent="0.3">
      <c r="A200" s="6" t="str">
        <f>VLOOKUP(C200,'[1]MURATPAŞA BÖLGE'!$C:$H,6,0)</f>
        <v>VELİ GÖK</v>
      </c>
      <c r="B200" s="6" t="s">
        <v>185</v>
      </c>
      <c r="C200" s="6" t="s">
        <v>187</v>
      </c>
      <c r="D200" s="7">
        <f t="shared" si="3"/>
        <v>7</v>
      </c>
      <c r="E200" s="8">
        <v>1</v>
      </c>
      <c r="F200" s="8">
        <v>0</v>
      </c>
      <c r="G200" s="8">
        <v>0</v>
      </c>
      <c r="H200" s="8">
        <v>0</v>
      </c>
      <c r="I200" s="8">
        <v>2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1</v>
      </c>
      <c r="P200" s="8">
        <v>0</v>
      </c>
      <c r="Q200" s="8">
        <v>2</v>
      </c>
      <c r="R200" s="8">
        <v>0</v>
      </c>
      <c r="S200" s="8">
        <v>1</v>
      </c>
      <c r="T200" s="8">
        <v>0</v>
      </c>
      <c r="U200" s="8">
        <v>0</v>
      </c>
    </row>
    <row r="201" spans="1:21" x14ac:dyDescent="0.3">
      <c r="A201" s="6" t="str">
        <f>VLOOKUP(C201,'[1]MURATPAŞA BÖLGE'!$C:$H,6,0)</f>
        <v>VELİ GÖK</v>
      </c>
      <c r="B201" s="6" t="str">
        <f>VLOOKUP(C201,'[1]MURATPAŞA BÖLGE'!$C:$G,5,0)</f>
        <v>TUĞÇE KOCABAŞ</v>
      </c>
      <c r="C201" s="6" t="s">
        <v>194</v>
      </c>
      <c r="D201" s="7">
        <f t="shared" si="3"/>
        <v>7</v>
      </c>
      <c r="E201" s="8">
        <v>1</v>
      </c>
      <c r="F201" s="8">
        <v>0</v>
      </c>
      <c r="G201" s="8">
        <v>0</v>
      </c>
      <c r="H201" s="8">
        <v>1</v>
      </c>
      <c r="I201" s="8">
        <v>1</v>
      </c>
      <c r="J201" s="8">
        <v>0</v>
      </c>
      <c r="K201" s="8">
        <v>0</v>
      </c>
      <c r="L201" s="8">
        <v>1</v>
      </c>
      <c r="M201" s="8">
        <v>0</v>
      </c>
      <c r="N201" s="8">
        <v>0</v>
      </c>
      <c r="O201" s="8">
        <v>1</v>
      </c>
      <c r="P201" s="8">
        <v>1</v>
      </c>
      <c r="Q201" s="8">
        <v>1</v>
      </c>
      <c r="R201" s="8">
        <v>0</v>
      </c>
      <c r="S201" s="8">
        <v>0</v>
      </c>
      <c r="T201" s="8">
        <v>0</v>
      </c>
      <c r="U201" s="8">
        <v>0</v>
      </c>
    </row>
    <row r="202" spans="1:21" x14ac:dyDescent="0.3">
      <c r="A202" s="6" t="str">
        <f>VLOOKUP(C202,'[1]MURATPAŞA BÖLGE'!$C:$H,6,0)</f>
        <v>VELİ GÖK</v>
      </c>
      <c r="B202" s="6" t="str">
        <f>VLOOKUP(C202,'[1]MURATPAŞA BÖLGE'!$C:$G,5,0)</f>
        <v>ABDULLAH BAY</v>
      </c>
      <c r="C202" s="6" t="s">
        <v>149</v>
      </c>
      <c r="D202" s="7">
        <f t="shared" si="3"/>
        <v>5</v>
      </c>
      <c r="E202" s="8">
        <v>1</v>
      </c>
      <c r="F202" s="8">
        <v>1</v>
      </c>
      <c r="G202" s="8">
        <v>0</v>
      </c>
      <c r="H202" s="8">
        <v>0</v>
      </c>
      <c r="I202" s="8">
        <v>2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1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</row>
    <row r="203" spans="1:21" x14ac:dyDescent="0.3">
      <c r="A203" s="6" t="str">
        <f>VLOOKUP(C203,'[1]MURATPAŞA BÖLGE'!$C:$H,6,0)</f>
        <v>VELİ GÖK</v>
      </c>
      <c r="B203" s="6" t="s">
        <v>161</v>
      </c>
      <c r="C203" s="6" t="s">
        <v>162</v>
      </c>
      <c r="D203" s="7">
        <f t="shared" si="3"/>
        <v>5</v>
      </c>
      <c r="E203" s="8">
        <v>0</v>
      </c>
      <c r="F203" s="8">
        <v>1</v>
      </c>
      <c r="G203" s="8">
        <v>0</v>
      </c>
      <c r="H203" s="8">
        <v>1</v>
      </c>
      <c r="I203" s="8">
        <v>1</v>
      </c>
      <c r="J203" s="8">
        <v>0</v>
      </c>
      <c r="K203" s="8">
        <v>1</v>
      </c>
      <c r="L203" s="8">
        <v>1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</row>
    <row r="204" spans="1:21" x14ac:dyDescent="0.3">
      <c r="A204" s="6" t="str">
        <f>VLOOKUP(C204,'[1]MURATPAŞA BÖLGE'!$C:$H,6,0)</f>
        <v>VELİ GÖK</v>
      </c>
      <c r="B204" s="6" t="str">
        <f>VLOOKUP(C204,'[1]MURATPAŞA BÖLGE'!$C:$G,5,0)</f>
        <v>TUĞÇE KOCABAŞ</v>
      </c>
      <c r="C204" s="6" t="s">
        <v>197</v>
      </c>
      <c r="D204" s="7">
        <f t="shared" si="3"/>
        <v>5</v>
      </c>
      <c r="E204" s="8">
        <v>1</v>
      </c>
      <c r="F204" s="8">
        <v>0</v>
      </c>
      <c r="G204" s="8">
        <v>0</v>
      </c>
      <c r="H204" s="8">
        <v>0</v>
      </c>
      <c r="I204" s="8">
        <v>1</v>
      </c>
      <c r="J204" s="8">
        <v>0</v>
      </c>
      <c r="K204" s="8">
        <v>1</v>
      </c>
      <c r="L204" s="8">
        <v>0</v>
      </c>
      <c r="M204" s="8">
        <v>0</v>
      </c>
      <c r="N204" s="8">
        <v>0</v>
      </c>
      <c r="O204" s="8">
        <v>1</v>
      </c>
      <c r="P204" s="8">
        <v>0</v>
      </c>
      <c r="Q204" s="8">
        <v>1</v>
      </c>
      <c r="R204" s="8">
        <v>0</v>
      </c>
      <c r="S204" s="8">
        <v>0</v>
      </c>
      <c r="T204" s="8">
        <v>0</v>
      </c>
      <c r="U204" s="8">
        <v>0</v>
      </c>
    </row>
    <row r="205" spans="1:21" x14ac:dyDescent="0.3">
      <c r="A205" s="6" t="str">
        <f>VLOOKUP(C205,'[1]MURATPAŞA BÖLGE'!$C:$H,6,0)</f>
        <v>VELİ GÖK</v>
      </c>
      <c r="B205" s="6" t="s">
        <v>185</v>
      </c>
      <c r="C205" s="6" t="s">
        <v>186</v>
      </c>
      <c r="D205" s="7">
        <f t="shared" si="3"/>
        <v>4</v>
      </c>
      <c r="E205" s="8">
        <v>0</v>
      </c>
      <c r="F205" s="8">
        <v>1</v>
      </c>
      <c r="G205" s="8">
        <v>1</v>
      </c>
      <c r="H205" s="8">
        <v>0</v>
      </c>
      <c r="I205" s="8">
        <v>1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1</v>
      </c>
      <c r="T205" s="8">
        <v>0</v>
      </c>
      <c r="U205" s="8">
        <v>0</v>
      </c>
    </row>
    <row r="206" spans="1:21" x14ac:dyDescent="0.3">
      <c r="A206" s="6" t="str">
        <f>VLOOKUP(C206,'[1]MURATPAŞA BÖLGE'!$C:$H,6,0)</f>
        <v>VELİ GÖK</v>
      </c>
      <c r="B206" s="6" t="str">
        <f>VLOOKUP(C206,'[1]MURATPAŞA BÖLGE'!$C:$G,5,0)</f>
        <v>KERİM YÜREKLİ</v>
      </c>
      <c r="C206" s="6" t="s">
        <v>171</v>
      </c>
      <c r="D206" s="7">
        <f t="shared" si="3"/>
        <v>2</v>
      </c>
      <c r="E206" s="8">
        <v>1</v>
      </c>
      <c r="F206" s="8">
        <v>0</v>
      </c>
      <c r="G206" s="8">
        <v>0</v>
      </c>
      <c r="H206" s="8">
        <v>1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</row>
    <row r="207" spans="1:21" x14ac:dyDescent="0.3">
      <c r="A207" s="6" t="str">
        <f>VLOOKUP(C207,'[1]MURATPAŞA BÖLGE'!$C:$H,6,0)</f>
        <v>VELİ GÖK</v>
      </c>
      <c r="B207" s="6" t="str">
        <f>VLOOKUP(C207,'[1]MURATPAŞA BÖLGE'!$C:$G,5,0)</f>
        <v>ABDULLAH BAY</v>
      </c>
      <c r="C207" s="6" t="s">
        <v>145</v>
      </c>
      <c r="D207" s="7">
        <f t="shared" si="3"/>
        <v>1</v>
      </c>
      <c r="E207" s="8">
        <v>0</v>
      </c>
      <c r="F207" s="8">
        <v>1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</row>
    <row r="208" spans="1:21" x14ac:dyDescent="0.3">
      <c r="A208" s="6" t="str">
        <f>VLOOKUP(C208,'[1]MURATPAŞA BÖLGE'!$C:$H,6,0)</f>
        <v>VELİ GÖK</v>
      </c>
      <c r="B208" s="6" t="str">
        <f>VLOOKUP(C208,'[1]MURATPAŞA BÖLGE'!$C:$G,5,0)</f>
        <v>ABDULLAH BAY</v>
      </c>
      <c r="C208" s="6" t="s">
        <v>147</v>
      </c>
      <c r="D208" s="7">
        <f t="shared" si="3"/>
        <v>1</v>
      </c>
      <c r="E208" s="8">
        <v>0</v>
      </c>
      <c r="F208" s="8">
        <v>1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</row>
    <row r="209" spans="1:21" x14ac:dyDescent="0.3">
      <c r="A209" s="6" t="str">
        <f>VLOOKUP(C209,'[1]MURATPAŞA BÖLGE'!$C:$H,6,0)</f>
        <v>VELİ GÖK</v>
      </c>
      <c r="B209" s="6" t="str">
        <f>VLOOKUP(C209,'[1]MURATPAŞA BÖLGE'!$C:$G,5,0)</f>
        <v>ABDULLAH BAY</v>
      </c>
      <c r="C209" s="6" t="s">
        <v>146</v>
      </c>
      <c r="D209" s="7">
        <f t="shared" si="3"/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</row>
    <row r="210" spans="1:21" x14ac:dyDescent="0.3">
      <c r="A210" s="6" t="str">
        <f>VLOOKUP(C210,'[1]MURATPAŞA BÖLGE'!$C:$H,6,0)</f>
        <v>VELİ GÖK</v>
      </c>
      <c r="B210" s="6" t="str">
        <f>VLOOKUP(C210,'[1]MURATPAŞA BÖLGE'!$C:$G,5,0)</f>
        <v>KERİM YÜREKLİ</v>
      </c>
      <c r="C210" s="6" t="s">
        <v>169</v>
      </c>
      <c r="D210" s="7">
        <f t="shared" si="3"/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</row>
    <row r="211" spans="1:21" x14ac:dyDescent="0.3">
      <c r="A211" s="6" t="str">
        <f>VLOOKUP(C211,'[1]MURATPAŞA BÖLGE'!$C:$H,6,0)</f>
        <v>VELİ GÖK</v>
      </c>
      <c r="B211" s="6" t="str">
        <f>VLOOKUP(C211,'[1]MURATPAŞA BÖLGE'!$C:$G,5,0)</f>
        <v>KERİM YÜREKLİ</v>
      </c>
      <c r="C211" s="6" t="s">
        <v>170</v>
      </c>
      <c r="D211" s="7">
        <f t="shared" si="3"/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</row>
    <row r="212" spans="1:21" x14ac:dyDescent="0.3">
      <c r="A212" s="6" t="str">
        <f>VLOOKUP(C212,'[1]MURATPAŞA BÖLGE'!$C:$H,6,0)</f>
        <v>VELİ GÖK</v>
      </c>
      <c r="B212" s="6" t="str">
        <f>VLOOKUP(C212,'[1]MURATPAŞA BÖLGE'!$C:$G,5,0)</f>
        <v>SALİH SERKAN ERÇİN</v>
      </c>
      <c r="C212" s="6" t="s">
        <v>177</v>
      </c>
      <c r="D212" s="7">
        <f t="shared" si="3"/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</row>
    <row r="213" spans="1:21" x14ac:dyDescent="0.3">
      <c r="A213" s="6" t="str">
        <f>VLOOKUP(C213,'[1]MURATPAŞA BÖLGE'!$C:$H,6,0)</f>
        <v>VELİ GÖK</v>
      </c>
      <c r="B213" s="6" t="str">
        <f>VLOOKUP(C213,'[1]MURATPAŞA BÖLGE'!$C:$G,5,0)</f>
        <v>TUĞÇE KOCABAŞ</v>
      </c>
      <c r="C213" s="6" t="s">
        <v>201</v>
      </c>
      <c r="D213" s="7">
        <f t="shared" ref="D213" si="4">SUBTOTAL(9,E213:U213)</f>
        <v>9</v>
      </c>
      <c r="E213" s="8">
        <v>2</v>
      </c>
      <c r="F213" s="8">
        <v>0</v>
      </c>
      <c r="G213" s="8">
        <v>0</v>
      </c>
      <c r="H213" s="8">
        <v>0</v>
      </c>
      <c r="I213" s="8">
        <v>1</v>
      </c>
      <c r="J213" s="8">
        <v>0</v>
      </c>
      <c r="K213" s="8">
        <v>0</v>
      </c>
      <c r="L213" s="8">
        <v>0</v>
      </c>
      <c r="M213" s="8">
        <v>1</v>
      </c>
      <c r="N213" s="8">
        <v>1</v>
      </c>
      <c r="O213" s="8">
        <v>0</v>
      </c>
      <c r="P213" s="8">
        <v>0</v>
      </c>
      <c r="Q213" s="8">
        <v>2</v>
      </c>
      <c r="R213" s="8">
        <v>0</v>
      </c>
      <c r="S213" s="8">
        <v>1</v>
      </c>
      <c r="T213" s="8">
        <v>0</v>
      </c>
      <c r="U213" s="8">
        <v>1</v>
      </c>
    </row>
  </sheetData>
  <autoFilter ref="A1:XFC212">
    <sortState ref="A2:AMJ212">
      <sortCondition ref="A1:A212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Duygu Topatan (9959sma03)</dc:creator>
  <dc:description/>
  <cp:lastModifiedBy>Ziya Senirli (9959GM)</cp:lastModifiedBy>
  <cp:revision>5</cp:revision>
  <dcterms:created xsi:type="dcterms:W3CDTF">2025-09-29T07:00:48Z</dcterms:created>
  <dcterms:modified xsi:type="dcterms:W3CDTF">2026-03-18T10:16:22Z</dcterms:modified>
  <dc:language>tr-TR</dc:language>
</cp:coreProperties>
</file>